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workbookPassword="B522"/>
  <sheets>
    <sheet name="Sparkline Gallery" sheetId="1" r:id="rId1"/>
    <sheet name="Kitchen Sink Grid" sheetId="2" r:id="rId2"/>
    <sheet name="RTL Review" sheetId="3" r:id="rId3"/>
    <sheet name="Filtered Review" sheetId="4" r:id="rId4"/>
    <sheet name="Formula Summaries" sheetId="5" r:id="rId5"/>
    <sheet name="Formula Columns" sheetId="6" r:id="rId6"/>
    <sheet name="Validation" sheetId="7" r:id="rId7"/>
    <sheet name="Protected Input" sheetId="8" r:id="rId8"/>
    <sheet name="Hyperlinks" sheetId="9" r:id="rId9"/>
    <sheet name="Images" sheetId="10" r:id="rId10"/>
    <sheet name="Native Excel Table" sheetId="11" r:id="rId11"/>
    <sheet name="Grouped Formula Scope" sheetId="12" r:id="rId12"/>
  </sheets>
  <calcPr calcMode="auto" fullCalcOnLoad="1" forceFullCalc="1"/>
</workbook>
</file>

<file path=xl/sharedStrings.xml><?xml version="1.0" encoding="utf-8"?>
<sst xmlns="http://schemas.openxmlformats.org/spreadsheetml/2006/main" count="117" uniqueCount="117">
  <si>
    <t>Sparkline Gallery</t>
  </si>
  <si>
    <t>Monthly Revenue</t>
  </si>
  <si>
    <t>MoM Delta</t>
  </si>
  <si>
    <t>Segment</t>
  </si>
  <si>
    <t>Jan</t>
  </si>
  <si>
    <t>Feb</t>
  </si>
  <si>
    <t>Mar</t>
  </si>
  <si>
    <t>Apr</t>
  </si>
  <si>
    <t>May</t>
  </si>
  <si>
    <t>Jun</t>
  </si>
  <si>
    <t>Line</t>
  </si>
  <si>
    <t>Column</t>
  </si>
  <si>
    <t>Win/Loss</t>
  </si>
  <si>
    <t>Enterprise</t>
  </si>
  <si>
    <t>Growth</t>
  </si>
  <si>
    <t>Starter</t>
  </si>
  <si>
    <t>Expansion</t>
  </si>
  <si>
    <t>Risk</t>
  </si>
  <si>
    <t>Seasonal</t>
  </si>
  <si>
    <t>Turnaround</t>
  </si>
  <si>
    <t>Orders Overview</t>
  </si>
  <si>
    <t>Order</t>
  </si>
  <si>
    <t>Customer</t>
  </si>
  <si>
    <t>Account</t>
  </si>
  <si>
    <t>Email</t>
  </si>
  <si>
    <t>SKU</t>
  </si>
  <si>
    <t>Description</t>
  </si>
  <si>
    <t>Qty</t>
  </si>
  <si>
    <t>Unit Price</t>
  </si>
  <si>
    <t>Line Total</t>
  </si>
  <si>
    <t>Fulfilled</t>
  </si>
  <si>
    <t>Notes</t>
  </si>
  <si>
    <t>Tags</t>
  </si>
  <si>
    <t>Created</t>
  </si>
  <si>
    <t>ORD-1001</t>
  </si>
  <si>
    <t>Acme Manufacturing</t>
  </si>
  <si>
    <t>ENTERPRISE / EMEA</t>
  </si>
  <si>
    <t>ops@acme.example</t>
  </si>
  <si>
    <t>AX-100</t>
  </si>
  <si>
    <t>Assembly node
Rack-ready kit</t>
  </si>
  <si>
    <t>YES</t>
  </si>
  <si>
    <t>Priority shipment
Requires customs docs</t>
  </si>
  <si>
    <t>priority, hardware, renewal</t>
  </si>
  <si>
    <t>SUP-11</t>
  </si>
  <si>
    <t>Premium support extension</t>
  </si>
  <si>
    <t>PENDING</t>
  </si>
  <si>
    <t>ORD-1002</t>
  </si>
  <si>
    <t>Bluebird Health</t>
  </si>
  <si>
    <t>GROWTH / AMER</t>
  </si>
  <si>
    <t>finance@bluebird.example</t>
  </si>
  <si>
    <t>LIC-24</t>
  </si>
  <si>
    <t>Workspace license</t>
  </si>
  <si>
    <t>Bundle with migration hours</t>
  </si>
  <si>
    <t>services, migration</t>
  </si>
  <si>
    <t>MIG-08</t>
  </si>
  <si>
    <t>Migration workshop</t>
  </si>
  <si>
    <t>TRN-04</t>
  </si>
  <si>
    <t>Enablement training
Remote session</t>
  </si>
  <si>
    <t>ORD-1003</t>
  </si>
  <si>
    <t>Cinder Labs</t>
  </si>
  <si>
    <t>STARTER / APAC</t>
  </si>
  <si>
    <t>team@cinder.example</t>
  </si>
  <si>
    <t>LITE-05</t>
  </si>
  <si>
    <t>Starter seats</t>
  </si>
  <si>
    <t>Keep starter discount</t>
  </si>
  <si>
    <t>self-serve</t>
  </si>
  <si>
    <t>ORD-1004</t>
  </si>
  <si>
    <t>Delta Retail Group</t>
  </si>
  <si>
    <t>buyers@delta.example</t>
  </si>
  <si>
    <t>POS-14</t>
  </si>
  <si>
    <t>Retail POS devices</t>
  </si>
  <si>
    <t>Split invoice by subsidiary
Send PDF copy</t>
  </si>
  <si>
    <t>multi-entity, finance-review, renewal</t>
  </si>
  <si>
    <t>NET-02</t>
  </si>
  <si>
    <t>Network gateway</t>
  </si>
  <si>
    <t>Enterprise Accounts</t>
  </si>
  <si>
    <t>Operations View</t>
  </si>
  <si>
    <t>RTL Snapshot</t>
  </si>
  <si>
    <t>Filtered Snapshot</t>
  </si>
  <si>
    <t>Formula Summary Snapshot</t>
  </si>
  <si>
    <t>Amount</t>
  </si>
  <si>
    <t>Items</t>
  </si>
  <si>
    <t>Fulfilled %</t>
  </si>
  <si>
    <t>TOTAL</t>
  </si>
  <si>
    <t>AVERAGE / LATEST</t>
  </si>
  <si>
    <t>Formula Column Snapshot</t>
  </si>
  <si>
    <t>Discount</t>
  </si>
  <si>
    <t>Activated</t>
  </si>
  <si>
    <t>Gross</t>
  </si>
  <si>
    <t>Utilization</t>
  </si>
  <si>
    <t>Net</t>
  </si>
  <si>
    <t>Validation Snapshot</t>
  </si>
  <si>
    <t>Owner</t>
  </si>
  <si>
    <t>Status</t>
  </si>
  <si>
    <t>Start Date</t>
  </si>
  <si>
    <t>active</t>
  </si>
  <si>
    <t>draft</t>
  </si>
  <si>
    <t>archived</t>
  </si>
  <si>
    <t>Editable Budget Overrides</t>
  </si>
  <si>
    <t>Requested Budget</t>
  </si>
  <si>
    <t>Approved Budget</t>
  </si>
  <si>
    <t>Linked Customer Records</t>
  </si>
  <si>
    <t>Product Image Renderer</t>
  </si>
  <si>
    <t>Photo</t>
  </si>
  <si>
    <t>Product</t>
  </si>
  <si>
    <t>Assembly node kit</t>
  </si>
  <si>
    <t>Retail POS device</t>
  </si>
  <si>
    <t>Region</t>
  </si>
  <si>
    <t>AMER Amount</t>
  </si>
  <si>
    <t>APAC Amount</t>
  </si>
  <si>
    <t>EMEA Amount</t>
  </si>
  <si>
    <t>Regional Total</t>
  </si>
  <si>
    <t>Regional Avg</t>
  </si>
  <si>
    <t>EMEA</t>
  </si>
  <si>
    <t>AMER</t>
  </si>
  <si>
    <t>APAC</t>
  </si>
  <si>
    <t>AVERAGE</t>
  </si>
</sst>
</file>

<file path=xl/styles.xml><?xml version="1.0" encoding="utf-8"?>
<styleSheet xmlns="http://schemas.openxmlformats.org/spreadsheetml/2006/main">
  <numFmts count="6">
    <numFmt numFmtId="164" formatCode="+#,##0;-#,##0;0"/>
    <numFmt numFmtId="165" formatCode="&quot;$&quot;#,##0.00"/>
    <numFmt numFmtId="166" formatCode="yyyy-mm-dd hh:mm"/>
    <numFmt numFmtId="167" formatCode="0.0%"/>
    <numFmt numFmtId="168" formatCode="0%"/>
    <numFmt numFmtId="169" formatCode="yyyy-mm-dd"/>
  </numFmts>
  <fonts count="12">
    <font>
      <sz val="11"/>
      <name val="Calibri"/>
    </font>
    <font>
      <b/>
      <color rgb="FF0F172A"/>
      <sz val="12"/>
    </font>
    <font>
      <b/>
      <color rgb="FF1E3A8A"/>
    </font>
    <font>
      <b/>
      <color rgb="FF1F2937"/>
    </font>
    <font>
      <color rgb="FF166534"/>
    </font>
    <font>
      <b/>
      <color rgb="FF166534"/>
    </font>
    <font>
      <sz val="12"/>
    </font>
    <font>
      <color rgb="FFB42318"/>
    </font>
    <font>
      <b/>
      <color rgb="FFB42318"/>
    </font>
    <font>
      <b/>
    </font>
    <font>
      <b/>
      <color rgb="FF7C3AED"/>
    </font>
    <font>
      <u/>
      <color rgb="FF0563C1"/>
    </font>
  </fonts>
  <fills count="9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EDF6FF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DCEBFF"/>
        <bgColor indexed="64"/>
      </patternFill>
    </fill>
    <fill>
      <patternFill patternType="none"/>
    </fill>
    <fill>
      <patternFill patternType="solid">
        <fgColor rgb="FFDBEAFE"/>
        <bgColor indexed="64"/>
      </patternFill>
    </fill>
    <fill>
      <patternFill patternType="solid">
        <fgColor rgb="FFE9E9E9"/>
        <bgColor indexed="64"/>
      </patternFill>
    </fill>
  </fills>
  <borders count="5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medium">
        <color rgb="FF334155"/>
      </top>
      <bottom style="medium">
        <color rgb="FF334155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164" fontId="0" fillId="6" borderId="2" xfId="0" applyNumberFormat="1" applyFill="1" applyBorder="1" applyAlignment="1">
      <alignment horizontal="right" vertical="center"/>
    </xf>
    <xf numFmtId="0" fontId="2" fillId="7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6" borderId="4" xfId="0" applyFill="1" applyBorder="1" applyAlignment="1">
      <alignment vertical="center"/>
    </xf>
    <xf numFmtId="0" fontId="0" fillId="6" borderId="4" xfId="0" applyFill="1" applyBorder="1" applyAlignment="1">
      <alignment vertical="top" wrapText="1"/>
    </xf>
    <xf numFmtId="0" fontId="0" fillId="6" borderId="4" xfId="0" applyFill="1" applyBorder="1" applyAlignment="1">
      <alignment horizontal="right" vertical="center"/>
    </xf>
    <xf numFmtId="165" fontId="0" fillId="6" borderId="4" xfId="0" applyNumberFormat="1" applyFill="1" applyBorder="1" applyAlignment="1">
      <alignment horizontal="right" vertical="center"/>
    </xf>
    <xf numFmtId="165" fontId="4" fillId="6" borderId="4" xfId="0" applyNumberFormat="1" applyFont="1" applyFill="1" applyBorder="1" applyAlignment="1">
      <alignment horizontal="right" vertical="center"/>
    </xf>
    <xf numFmtId="0" fontId="5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vertical="top" wrapText="1"/>
    </xf>
    <xf numFmtId="166" fontId="0" fillId="6" borderId="4" xfId="0" applyNumberFormat="1" applyFill="1" applyBorder="1" applyAlignment="1">
      <alignment vertical="center"/>
    </xf>
    <xf numFmtId="165" fontId="7" fillId="6" borderId="4" xfId="0" applyNumberFormat="1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vertical="center"/>
    </xf>
    <xf numFmtId="165" fontId="9" fillId="8" borderId="4" xfId="0" applyNumberFormat="1" applyFont="1" applyFill="1" applyBorder="1" applyAlignment="1">
      <alignment horizontal="right" vertical="center"/>
    </xf>
    <xf numFmtId="167" fontId="0" fillId="6" borderId="4" xfId="0" applyNumberFormat="1" applyFill="1" applyBorder="1" applyAlignment="1">
      <alignment horizontal="right" vertical="center"/>
    </xf>
    <xf numFmtId="0" fontId="9" fillId="8" borderId="4" xfId="0" applyFont="1" applyFill="1" applyBorder="1" applyAlignment="1">
      <alignment horizontal="right" vertical="center"/>
    </xf>
    <xf numFmtId="167" fontId="9" fillId="8" borderId="4" xfId="0" applyNumberFormat="1" applyFont="1" applyFill="1" applyBorder="1" applyAlignment="1">
      <alignment horizontal="right" vertical="center"/>
    </xf>
    <xf numFmtId="166" fontId="9" fillId="8" borderId="4" xfId="0" applyNumberFormat="1" applyFont="1" applyFill="1" applyBorder="1" applyAlignment="1">
      <alignment vertical="center"/>
    </xf>
    <xf numFmtId="168" fontId="0" fillId="6" borderId="4" xfId="0" applyNumberFormat="1" applyFill="1" applyBorder="1" applyAlignment="1">
      <alignment horizontal="right" vertical="center"/>
    </xf>
    <xf numFmtId="169" fontId="0" fillId="6" borderId="4" xfId="0" applyNumberFormat="1" applyFill="1" applyBorder="1" applyAlignment="1">
      <alignment vertical="center"/>
    </xf>
    <xf numFmtId="0" fontId="0" fillId="6" borderId="4" xfId="0" applyFill="1" applyBorder="1" applyAlignment="1" applyProtection="1">
      <alignment vertical="center"/>
      <protection/>
    </xf>
    <xf numFmtId="165" fontId="0" fillId="6" borderId="4" xfId="0" applyNumberFormat="1" applyFill="1" applyBorder="1" applyAlignment="1" applyProtection="1">
      <alignment horizontal="right" vertical="center"/>
      <protection locked="0"/>
    </xf>
    <xf numFmtId="165" fontId="0" fillId="6" borderId="4" xfId="0" applyNumberFormat="1" applyFill="1" applyBorder="1" applyAlignment="1" applyProtection="1">
      <alignment horizontal="right" vertical="center"/>
      <protection hidden="1"/>
    </xf>
    <xf numFmtId="0" fontId="10" fillId="6" borderId="4" xfId="0" applyFont="1" applyFill="1" applyBorder="1" applyAlignment="1">
      <alignment vertical="center"/>
    </xf>
    <xf numFmtId="0" fontId="11" fillId="6" borderId="4" xfId="0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166534"/>
      </font>
      <fill>
        <patternFill patternType="solid">
          <fgColor rgb="FFDCFCE7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D4ED8"/>
      </font>
      <fill>
        <patternFill patternType="solid">
          <fgColor rgb="FFDBEAFE"/>
        </patternFill>
      </fill>
    </dxf>
    <dxf>
      <font>
        <b/>
        <color rgb="FF9A3412"/>
      </font>
      <fill>
        <patternFill patternType="solid">
          <fgColor rgb="FFFFEDD5"/>
        </patternFill>
      </fill>
      <border>
        <left style="thick">
          <color rgb="FFEA580C"/>
        </left>
        <right/>
        <top/>
        <bottom/>
        <diagonal/>
      </border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Image1" Type="http://schemas.openxmlformats.org/officeDocument/2006/relationships/image" Target="../media/image1.png"/><Relationship Id="rIdImage2" Type="http://schemas.openxmlformats.org/officeDocument/2006/relationships/image" Target="../media/image2.png"/><Relationship Id="rIdImage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19050</xdr:colOff>
      <xdr:row>2</xdr:row>
      <xdr:rowOff>19050</xdr:rowOff>
    </xdr:from>
    <xdr:ext cx="400050" cy="400050"/>
    <xdr:pic>
      <xdr:nvPicPr>
        <xdr:cNvPr id="1" name="Picture 1" descr="Assembly node kit"/>
        <xdr:cNvPicPr>
          <a:picLocks noChangeAspect="1"/>
        </xdr:cNvPicPr>
      </xdr:nvPicPr>
      <xdr:blipFill>
        <a:blip r:embed="rIdImage1"/>
        <a:stretch>
          <a:fillRect/>
        </a:stretch>
      </xdr:blipFill>
      <xdr:spPr>
        <a:xfrm>
          <a:off x="0" y="0"/>
          <a:ext cx="400050" cy="40005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19050</xdr:rowOff>
    </xdr:from>
    <xdr:ext cx="400050" cy="400050"/>
    <xdr:pic>
      <xdr:nvPicPr>
        <xdr:cNvPr id="2" name="Picture 2" descr="Workspace license"/>
        <xdr:cNvPicPr>
          <a:picLocks noChangeAspect="1"/>
        </xdr:cNvPicPr>
      </xdr:nvPicPr>
      <xdr:blipFill>
        <a:blip r:embed="rIdImage2"/>
        <a:stretch>
          <a:fillRect/>
        </a:stretch>
      </xdr:blipFill>
      <xdr:spPr>
        <a:xfrm>
          <a:off x="0" y="0"/>
          <a:ext cx="400050" cy="40005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</xdr:row>
      <xdr:rowOff>19050</xdr:rowOff>
    </xdr:from>
    <xdr:ext cx="400050" cy="400050"/>
    <xdr:pic>
      <xdr:nvPicPr>
        <xdr:cNvPr id="3" name="Picture 3" descr="Retail POS device"/>
        <xdr:cNvPicPr>
          <a:picLocks noChangeAspect="1"/>
        </xdr:cNvPicPr>
      </xdr:nvPicPr>
      <xdr:blipFill>
        <a:blip r:embed="rIdImage3"/>
        <a:stretch>
          <a:fillRect/>
        </a:stretch>
      </xdr:blipFill>
      <xdr:spPr>
        <a:xfrm>
          <a:off x="0" y="0"/>
          <a:ext cx="400050" cy="4000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KitchenSinkOrders" displayName="KitchenSinkOrders" ref="A1:G6" totalsRowCount="1" headerRowCount="1">
  <autoFilter ref="A1:G5"/>
  <tableColumns count="7">
    <tableColumn id="1" name="Order" totalsRowLabel="TOTAL"/>
    <tableColumn id="2" name="Customer"/>
    <tableColumn id="3" name="Account"/>
    <tableColumn id="4" name="Email"/>
    <tableColumn id="5" name="Items"/>
    <tableColumn id="6" name="Line Total" totalsRowFunction="sum"/>
    <tableColumn id="7" name="Created" totalsRowFunction="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ouped_formula_orders" displayName="grouped_formula_orders" ref="A1:H6" totalsRowCount="1" headerRowCount="1">
  <autoFilter ref="A1:H5"/>
  <tableColumns count="8">
    <tableColumn id="1" name="Customer" totalsRowLabel="AVERAGE"/>
    <tableColumn id="2" name="Amount" totalsRowFunction="average"/>
    <tableColumn id="3" name="Region"/>
    <tableColumn id="4" name="AMER Amount">
      <calculatedColumnFormula>IF((grouped_formula_orders[[#This Row],[Region]]="AMER"),grouped_formula_orders[[#This Row],[Amount]],0)</calculatedColumnFormula>
    </tableColumn>
    <tableColumn id="5" name="APAC Amount">
      <calculatedColumnFormula>IF((grouped_formula_orders[[#This Row],[Region]]="APAC"),grouped_formula_orders[[#This Row],[Amount]],0)</calculatedColumnFormula>
    </tableColumn>
    <tableColumn id="6" name="EMEA Amount">
      <calculatedColumnFormula>IF((grouped_formula_orders[[#This Row],[Region]]="EMEA"),grouped_formula_orders[[#This Row],[Amount]],0)</calculatedColumnFormula>
    </tableColumn>
    <tableColumn id="7" name="Regional Total" totalsRowFunction="sum">
      <calculatedColumnFormula>SUM(grouped_formula_orders[[#This Row],[AMER Amount]:[EMEA Amount]])</calculatedColumnFormula>
    </tableColumn>
    <tableColumn id="8" name="Regional Avg" totalsRowFunction="average">
      <calculatedColumnFormula>ROUND(AVERAGE(grouped_formula_orders[[#This Row],[AMER Amount]:[EMEA Amount]]),2)</calculatedColumnFormula>
    </tableColumn>
  </tableColumns>
  <tableStyleInfo name="TableStyleLight9" showFirstColumn="0" showLastColumn="0" showRowStripes="1" showColumnStripes="0"/>
</table>
</file>

<file path=xl/worksheets/_rels/sheet9.xml.rels><?xml version="1.0" encoding="UTF-8" standalone="yes"?><Relationships xmlns="http://schemas.openxmlformats.org/package/2006/relationships"><Relationship Id="rIdHyperlink1" Type="http://schemas.openxmlformats.org/officeDocument/2006/relationships/hyperlink" Target="https://example.com/customers/ops" TargetMode="External"/><Relationship Id="rIdHyperlink2" Type="http://schemas.openxmlformats.org/officeDocument/2006/relationships/hyperlink" Target="mailto:ops@acme.example" TargetMode="External"/><Relationship Id="rIdHyperlink3" Type="http://schemas.openxmlformats.org/officeDocument/2006/relationships/hyperlink" Target="mailto:finance@bluebird.example" TargetMode="External"/><Relationship Id="rIdHyperlink4" Type="http://schemas.openxmlformats.org/officeDocument/2006/relationships/hyperlink" Target="https://example.com/customers/team" TargetMode="External"/><Relationship Id="rIdHyperlink5" Type="http://schemas.openxmlformats.org/officeDocument/2006/relationships/hyperlink" Target="mailto:team@cinder.example" TargetMode="External"/><Relationship Id="rIdHyperlink6" Type="http://schemas.openxmlformats.org/officeDocument/2006/relationships/hyperlink" Target="mailto:buyers@delta.example" TargetMode="External"/></Relationships>
</file>

<file path=xl/worksheets/_rels/sheet10.xml.rels><?xml version="1.0" encoding="UTF-8" standalone="yes"?><Relationships xmlns="http://schemas.openxmlformats.org/package/2006/relationships"><Relationship Id="rIdDrawing1" Type="http://schemas.openxmlformats.org/officeDocument/2006/relationships/drawing" Target="../drawings/drawing1.xml"/></Relationships>
</file>

<file path=xl/worksheets/_rels/sheet11.xml.rels><?xml version="1.0" encoding="UTF-8" standalone="yes"?><Relationships xmlns="http://schemas.openxmlformats.org/package/2006/relationships"><Relationship Id="rIdTable1" Type="http://schemas.openxmlformats.org/officeDocument/2006/relationships/table" Target="../tables/table1.xml"/></Relationships>
</file>

<file path=xl/worksheets/_rels/sheet12.xml.rels><?xml version="1.0" encoding="UTF-8" standalone="yes"?><Relationships xmlns="http://schemas.openxmlformats.org/package/2006/relationships"><Relationship Id="rIdTable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>
      <pane xSplit="1" ySplit="3" topLeftCell="B4" state="frozen" activePane="bottomRight"/>
      <selection pane="topRight"/>
      <selection pane="bottomLeft"/>
      <selection pane="bottomRight" activeCell="B4" sqref="B4"/>
    </sheetView>
  </sheetViews>
  <sheetFormatPr defaultRowHeight="30"/>
  <cols>
    <col min="1" max="1" width="23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27" customWidth="1"/>
    <col min="9" max="9" width="27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27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0" customHeight="1">
      <c r="A2" s="2"/>
      <c r="B2" s="3" t="s">
        <v>1</v>
      </c>
      <c r="C2" s="2"/>
      <c r="D2" s="2"/>
      <c r="E2" s="2"/>
      <c r="F2" s="2"/>
      <c r="G2" s="2"/>
      <c r="H2" s="2"/>
      <c r="I2" s="2"/>
      <c r="J2" s="3" t="s">
        <v>2</v>
      </c>
      <c r="K2" s="2"/>
      <c r="L2" s="2"/>
      <c r="M2" s="2"/>
      <c r="N2" s="2"/>
      <c r="O2" s="2"/>
      <c r="P2" s="2"/>
    </row>
    <row r="3" ht="30" customHeight="1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4</v>
      </c>
      <c r="K3" s="4" t="s">
        <v>5</v>
      </c>
      <c r="L3" s="4" t="s">
        <v>6</v>
      </c>
      <c r="M3" s="4" t="s">
        <v>7</v>
      </c>
      <c r="N3" s="4" t="s">
        <v>8</v>
      </c>
      <c r="O3" s="4" t="s">
        <v>9</v>
      </c>
      <c r="P3" s="4" t="s">
        <v>12</v>
      </c>
    </row>
    <row r="4" ht="44" customHeight="1">
      <c r="A4" s="5" t="s">
        <v>13</v>
      </c>
      <c r="B4" s="5">
        <v>82</v>
      </c>
      <c r="C4" s="5">
        <v>91</v>
      </c>
      <c r="D4" s="5">
        <v>88</v>
      </c>
      <c r="E4" s="5">
        <v>106</v>
      </c>
      <c r="F4" s="5">
        <v>118</v>
      </c>
      <c r="G4" s="5">
        <v>132</v>
      </c>
      <c r="H4" s="5"/>
      <c r="I4" s="5"/>
      <c r="J4" s="6">
        <v>4</v>
      </c>
      <c r="K4" s="6">
        <v>9</v>
      </c>
      <c r="L4" s="6">
        <v>-3</v>
      </c>
      <c r="M4" s="6">
        <v>18</v>
      </c>
      <c r="N4" s="6">
        <v>12</v>
      </c>
      <c r="O4" s="6">
        <v>14</v>
      </c>
      <c r="P4" s="5"/>
    </row>
    <row r="5" ht="44" customHeight="1">
      <c r="A5" s="5" t="s">
        <v>14</v>
      </c>
      <c r="B5" s="5">
        <v>44</v>
      </c>
      <c r="C5" s="5">
        <v>47</v>
      </c>
      <c r="D5" s="5">
        <v>54</v>
      </c>
      <c r="E5" s="5">
        <v>52</v>
      </c>
      <c r="F5" s="5">
        <v>63</v>
      </c>
      <c r="G5" s="5">
        <v>71</v>
      </c>
      <c r="H5" s="5"/>
      <c r="I5" s="5"/>
      <c r="J5" s="6">
        <v>-2</v>
      </c>
      <c r="K5" s="6">
        <v>3</v>
      </c>
      <c r="L5" s="6">
        <v>7</v>
      </c>
      <c r="M5" s="6">
        <v>-2</v>
      </c>
      <c r="N5" s="6">
        <v>11</v>
      </c>
      <c r="O5" s="6">
        <v>8</v>
      </c>
      <c r="P5" s="5"/>
    </row>
    <row r="6" ht="44" customHeight="1">
      <c r="A6" s="5" t="s">
        <v>15</v>
      </c>
      <c r="B6" s="5">
        <v>22</v>
      </c>
      <c r="C6" s="5">
        <v>19</v>
      </c>
      <c r="D6" s="5">
        <v>24</v>
      </c>
      <c r="E6" s="5">
        <v>28</v>
      </c>
      <c r="F6" s="5">
        <v>25</v>
      </c>
      <c r="G6" s="5">
        <v>31</v>
      </c>
      <c r="H6" s="5"/>
      <c r="I6" s="5"/>
      <c r="J6" s="6">
        <v>1</v>
      </c>
      <c r="K6" s="6">
        <v>-3</v>
      </c>
      <c r="L6" s="6">
        <v>5</v>
      </c>
      <c r="M6" s="6">
        <v>4</v>
      </c>
      <c r="N6" s="6">
        <v>-3</v>
      </c>
      <c r="O6" s="6">
        <v>6</v>
      </c>
      <c r="P6" s="5"/>
    </row>
    <row r="7" ht="44" customHeight="1">
      <c r="A7" s="5" t="s">
        <v>16</v>
      </c>
      <c r="B7" s="5">
        <v>18</v>
      </c>
      <c r="C7" s="5">
        <v>24</v>
      </c>
      <c r="D7" s="5">
        <v>37</v>
      </c>
      <c r="E7" s="5">
        <v>34</v>
      </c>
      <c r="F7" s="5">
        <v>46</v>
      </c>
      <c r="G7" s="5">
        <v>58</v>
      </c>
      <c r="H7" s="5"/>
      <c r="I7" s="5"/>
      <c r="J7" s="6">
        <v>2</v>
      </c>
      <c r="K7" s="6">
        <v>6</v>
      </c>
      <c r="L7" s="6">
        <v>13</v>
      </c>
      <c r="M7" s="6">
        <v>-3</v>
      </c>
      <c r="N7" s="6">
        <v>12</v>
      </c>
      <c r="O7" s="6">
        <v>12</v>
      </c>
      <c r="P7" s="5"/>
    </row>
    <row r="8" ht="44" customHeight="1">
      <c r="A8" s="5" t="s">
        <v>17</v>
      </c>
      <c r="B8" s="5">
        <v>68</v>
      </c>
      <c r="C8" s="5">
        <v>62</v>
      </c>
      <c r="D8" s="5">
        <v>57</v>
      </c>
      <c r="E8" s="5">
        <v>49</v>
      </c>
      <c r="F8" s="5">
        <v>44</v>
      </c>
      <c r="G8" s="5">
        <v>39</v>
      </c>
      <c r="H8" s="5"/>
      <c r="I8" s="5"/>
      <c r="J8" s="6">
        <v>-1</v>
      </c>
      <c r="K8" s="6">
        <v>-6</v>
      </c>
      <c r="L8" s="6">
        <v>-5</v>
      </c>
      <c r="M8" s="6">
        <v>-8</v>
      </c>
      <c r="N8" s="6">
        <v>-5</v>
      </c>
      <c r="O8" s="6">
        <v>-5</v>
      </c>
      <c r="P8" s="5"/>
    </row>
    <row r="9" ht="44" customHeight="1">
      <c r="A9" s="5" t="s">
        <v>18</v>
      </c>
      <c r="B9" s="5">
        <v>36</v>
      </c>
      <c r="C9" s="5">
        <v>52</v>
      </c>
      <c r="D9" s="5">
        <v>49</v>
      </c>
      <c r="E9" s="5">
        <v>68</v>
      </c>
      <c r="F9" s="5">
        <v>55</v>
      </c>
      <c r="G9" s="5">
        <v>73</v>
      </c>
      <c r="H9" s="5"/>
      <c r="I9" s="5"/>
      <c r="J9" s="6">
        <v>5</v>
      </c>
      <c r="K9" s="6">
        <v>16</v>
      </c>
      <c r="L9" s="6">
        <v>-3</v>
      </c>
      <c r="M9" s="6">
        <v>19</v>
      </c>
      <c r="N9" s="6">
        <v>-13</v>
      </c>
      <c r="O9" s="6">
        <v>18</v>
      </c>
      <c r="P9" s="5"/>
    </row>
    <row r="10" ht="44" customHeight="1">
      <c r="A10" s="5" t="s">
        <v>19</v>
      </c>
      <c r="B10" s="5">
        <v>96</v>
      </c>
      <c r="C10" s="5">
        <v>74</v>
      </c>
      <c r="D10" s="5">
        <v>51</v>
      </c>
      <c r="E10" s="5">
        <v>48</v>
      </c>
      <c r="F10" s="5">
        <v>67</v>
      </c>
      <c r="G10" s="5">
        <v>92</v>
      </c>
      <c r="H10" s="5"/>
      <c r="I10" s="5"/>
      <c r="J10" s="6">
        <v>-8</v>
      </c>
      <c r="K10" s="6">
        <v>-22</v>
      </c>
      <c r="L10" s="6">
        <v>-23</v>
      </c>
      <c r="M10" s="6">
        <v>-3</v>
      </c>
      <c r="N10" s="6">
        <v>19</v>
      </c>
      <c r="O10" s="6">
        <v>25</v>
      </c>
      <c r="P10" s="5"/>
    </row>
  </sheetData>
  <mergeCells count="3">
    <mergeCell ref="A1:P1"/>
    <mergeCell ref="B2:G2"/>
    <mergeCell ref="J2:O2"/>
  </mergeCells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span" last="1" low="1" lineWeight="1.05">
          <x14:colorSeries rgb="FF2563EB"/>
          <x14:colorLast rgb="FF10B981"/>
          <x14:colorLow rgb="FFEF4444"/>
          <x14:sparklines>
            <x14:sparkline>
              <xm:f>'Sparkline Gallery'!B4:G4</xm:f>
              <xm:sqref>H4</xm:sqref>
            </x14:sparkline>
            <x14:sparkline>
              <xm:f>'Sparkline Gallery'!B5:G5</xm:f>
              <xm:sqref>H5</xm:sqref>
            </x14:sparkline>
            <x14:sparkline>
              <xm:f>'Sparkline Gallery'!B6:G6</xm:f>
              <xm:sqref>H6</xm:sqref>
            </x14:sparkline>
            <x14:sparkline>
              <xm:f>'Sparkline Gallery'!B7:G7</xm:f>
              <xm:sqref>H7</xm:sqref>
            </x14:sparkline>
            <x14:sparkline>
              <xm:f>'Sparkline Gallery'!B8:G8</xm:f>
              <xm:sqref>H8</xm:sqref>
            </x14:sparkline>
            <x14:sparkline>
              <xm:f>'Sparkline Gallery'!B9:G9</xm:f>
              <xm:sqref>H9</xm:sqref>
            </x14:sparkline>
            <x14:sparkline>
              <xm:f>'Sparkline Gallery'!B10:G10</xm:f>
              <xm:sqref>H10</xm:sqref>
            </x14:sparkline>
          </x14:sparklines>
        </x14:sparklineGroup>
        <x14:sparklineGroup type="column" displayEmptyCellsAs="gap" high="1" low="1">
          <x14:colorSeries rgb="FF0EA5E9"/>
          <x14:colorHigh rgb="FF22C55E"/>
          <x14:colorLow rgb="FFFB923C"/>
          <x14:sparklines>
            <x14:sparkline>
              <xm:f>'Sparkline Gallery'!B4:G4</xm:f>
              <xm:sqref>I4</xm:sqref>
            </x14:sparkline>
            <x14:sparkline>
              <xm:f>'Sparkline Gallery'!B5:G5</xm:f>
              <xm:sqref>I5</xm:sqref>
            </x14:sparkline>
            <x14:sparkline>
              <xm:f>'Sparkline Gallery'!B6:G6</xm:f>
              <xm:sqref>I6</xm:sqref>
            </x14:sparkline>
            <x14:sparkline>
              <xm:f>'Sparkline Gallery'!B7:G7</xm:f>
              <xm:sqref>I7</xm:sqref>
            </x14:sparkline>
            <x14:sparkline>
              <xm:f>'Sparkline Gallery'!B8:G8</xm:f>
              <xm:sqref>I8</xm:sqref>
            </x14:sparkline>
            <x14:sparkline>
              <xm:f>'Sparkline Gallery'!B9:G9</xm:f>
              <xm:sqref>I9</xm:sqref>
            </x14:sparkline>
            <x14:sparkline>
              <xm:f>'Sparkline Gallery'!B10:G10</xm:f>
              <xm:sqref>I10</xm:sqref>
            </x14:sparkline>
          </x14:sparklines>
        </x14:sparklineGroup>
        <x14:sparklineGroup type="stacked" displayEmptyCellsAs="gap" negative="1" displayXAxis="1">
          <x14:colorSeries rgb="FF16A34A"/>
          <x14:colorNegative rgb="FFEF4444"/>
          <x14:colorAxis rgb="FF475569"/>
          <x14:sparklines>
            <x14:sparkline>
              <xm:f>'Sparkline Gallery'!J4:O4</xm:f>
              <xm:sqref>P4</xm:sqref>
            </x14:sparkline>
            <x14:sparkline>
              <xm:f>'Sparkline Gallery'!J5:O5</xm:f>
              <xm:sqref>P5</xm:sqref>
            </x14:sparkline>
            <x14:sparkline>
              <xm:f>'Sparkline Gallery'!J6:O6</xm:f>
              <xm:sqref>P6</xm:sqref>
            </x14:sparkline>
            <x14:sparkline>
              <xm:f>'Sparkline Gallery'!J7:O7</xm:f>
              <xm:sqref>P7</xm:sqref>
            </x14:sparkline>
            <x14:sparkline>
              <xm:f>'Sparkline Gallery'!J8:O8</xm:f>
              <xm:sqref>P8</xm:sqref>
            </x14:sparkline>
            <x14:sparkline>
              <xm:f>'Sparkline Gallery'!J9:O9</xm:f>
              <xm:sqref>P9</xm:sqref>
            </x14:sparkline>
            <x14:sparkline>
              <xm:f>'Sparkline Gallery'!J10:O10</xm:f>
              <xm:sqref>P10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W24"/>
  <sheetViews>
    <sheetView workbookViewId="0">
      <pane xSplit="4" ySplit="1" topLeftCell="E2" state="frozen" activePane="bottomRight"/>
      <selection pane="topRight"/>
      <selection pane="bottomLeft"/>
      <selection pane="bottomRight" activeCell="E2" sqref="E2"/>
    </sheetView>
  </sheetViews>
  <sheetFormatPr defaultRowHeight="30"/>
  <cols>
    <col min="1" max="1" width="17" customWidth="1"/>
    <col min="2" max="2" width="23" customWidth="1"/>
    <col min="3" max="3" width="23" customWidth="1"/>
    <col min="4" max="4" width="29" customWidth="1"/>
    <col min="5" max="5" width="17" customWidth="1"/>
    <col min="6" max="6" width="30" customWidth="1"/>
    <col min="7" max="7" width="13" customWidth="1"/>
    <col min="8" max="8" width="17" customWidth="1"/>
    <col min="9" max="9" width="17" customWidth="1"/>
    <col min="10" max="10" width="17" customWidth="1"/>
    <col min="11" max="11" width="32" customWidth="1"/>
    <col min="12" max="12" width="42" customWidth="1"/>
    <col min="13" max="13" width="27" customWidth="1"/>
    <col min="16" max="16" width="17" customWidth="1"/>
    <col min="17" max="17" width="23" customWidth="1"/>
    <col min="18" max="18" width="23" customWidth="1"/>
    <col min="19" max="19" width="17" customWidth="1"/>
    <col min="20" max="20" width="30" customWidth="1"/>
    <col min="21" max="21" width="13" customWidth="1"/>
    <col min="22" max="22" width="17" customWidth="1"/>
    <col min="23" max="23" width="32" customWidth="1"/>
    <col min="1" max="1" width="17" customWidth="1"/>
    <col min="2" max="2" width="23" customWidth="1"/>
    <col min="3" max="3" width="23" customWidth="1"/>
    <col min="4" max="4" width="17" customWidth="1"/>
    <col min="5" max="5" width="30" customWidth="1"/>
    <col min="6" max="6" width="13" customWidth="1"/>
    <col min="7" max="7" width="17" customWidth="1"/>
    <col min="8" max="8" width="17" customWidth="1"/>
    <col min="9" max="9" width="17" customWidth="1"/>
    <col min="10" max="10" width="32" customWidth="1"/>
    <col min="11" max="11" width="27" customWidth="1"/>
  </cols>
  <sheetData>
    <row r="1" ht="30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P1" s="7" t="s">
        <v>75</v>
      </c>
      <c r="Q1" s="7"/>
      <c r="R1" s="7"/>
      <c r="S1" s="7"/>
      <c r="T1" s="7"/>
      <c r="U1" s="7"/>
      <c r="V1" s="7"/>
      <c r="W1" s="7"/>
    </row>
    <row r="2" ht="30" customHeight="1">
      <c r="A2" s="8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8" t="s">
        <v>29</v>
      </c>
      <c r="J2" s="8" t="s">
        <v>30</v>
      </c>
      <c r="K2" s="8" t="s">
        <v>31</v>
      </c>
      <c r="L2" s="8" t="s">
        <v>32</v>
      </c>
      <c r="M2" s="8" t="s">
        <v>33</v>
      </c>
      <c r="P2" s="8" t="s">
        <v>21</v>
      </c>
      <c r="Q2" s="8" t="s">
        <v>22</v>
      </c>
      <c r="R2" s="8" t="s">
        <v>23</v>
      </c>
      <c r="S2" s="8" t="s">
        <v>25</v>
      </c>
      <c r="T2" s="8" t="s">
        <v>26</v>
      </c>
      <c r="U2" s="8" t="s">
        <v>27</v>
      </c>
      <c r="V2" s="8" t="s">
        <v>29</v>
      </c>
      <c r="W2" s="8" t="s">
        <v>31</v>
      </c>
    </row>
    <row r="3" ht="60" customHeight="1">
      <c r="A3" s="9" t="s">
        <v>34</v>
      </c>
      <c r="B3" s="9" t="s">
        <v>35</v>
      </c>
      <c r="C3" s="9" t="s">
        <v>36</v>
      </c>
      <c r="D3" s="9" t="s">
        <v>37</v>
      </c>
      <c r="E3" s="9" t="s">
        <v>38</v>
      </c>
      <c r="F3" s="10" t="s">
        <v>39</v>
      </c>
      <c r="G3" s="11">
        <v>8</v>
      </c>
      <c r="H3" s="12">
        <v>1450</v>
      </c>
      <c r="I3" s="13">
        <v>11600</v>
      </c>
      <c r="J3" s="14" t="s">
        <v>40</v>
      </c>
      <c r="K3" s="15" t="s">
        <v>41</v>
      </c>
      <c r="L3" s="9" t="s">
        <v>42</v>
      </c>
      <c r="M3" s="16">
        <v>45719.395833333336</v>
      </c>
      <c r="P3" s="9" t="s">
        <v>34</v>
      </c>
      <c r="Q3" s="9" t="s">
        <v>35</v>
      </c>
      <c r="R3" s="9" t="s">
        <v>36</v>
      </c>
      <c r="S3" s="9" t="s">
        <v>38</v>
      </c>
      <c r="T3" s="10" t="s">
        <v>39</v>
      </c>
      <c r="U3" s="11">
        <v>8</v>
      </c>
      <c r="V3" s="13">
        <v>11600</v>
      </c>
      <c r="W3" s="15" t="s">
        <v>41</v>
      </c>
    </row>
    <row r="4" ht="30" customHeight="1">
      <c r="A4" s="9"/>
      <c r="B4" s="9"/>
      <c r="C4" s="9"/>
      <c r="D4" s="9"/>
      <c r="E4" s="9" t="s">
        <v>43</v>
      </c>
      <c r="F4" s="10" t="s">
        <v>44</v>
      </c>
      <c r="G4" s="11">
        <v>1</v>
      </c>
      <c r="H4" s="12">
        <v>950</v>
      </c>
      <c r="I4" s="17">
        <v>950</v>
      </c>
      <c r="J4" s="18" t="s">
        <v>45</v>
      </c>
      <c r="K4" s="15"/>
      <c r="L4" s="9"/>
      <c r="M4" s="16"/>
      <c r="P4" s="9"/>
      <c r="Q4" s="9"/>
      <c r="R4" s="9"/>
      <c r="S4" s="9" t="s">
        <v>43</v>
      </c>
      <c r="T4" s="10" t="s">
        <v>44</v>
      </c>
      <c r="U4" s="11">
        <v>1</v>
      </c>
      <c r="V4" s="17">
        <v>950</v>
      </c>
      <c r="W4" s="15"/>
    </row>
    <row r="5" ht="60" customHeight="1">
      <c r="A5" s="9" t="s">
        <v>46</v>
      </c>
      <c r="B5" s="9" t="s">
        <v>47</v>
      </c>
      <c r="C5" s="9" t="s">
        <v>48</v>
      </c>
      <c r="D5" s="9" t="s">
        <v>49</v>
      </c>
      <c r="E5" s="9" t="s">
        <v>50</v>
      </c>
      <c r="F5" s="10" t="s">
        <v>51</v>
      </c>
      <c r="G5" s="11">
        <v>24</v>
      </c>
      <c r="H5" s="12">
        <v>79</v>
      </c>
      <c r="I5" s="13">
        <v>1896</v>
      </c>
      <c r="J5" s="14" t="s">
        <v>40</v>
      </c>
      <c r="K5" s="15" t="s">
        <v>52</v>
      </c>
      <c r="L5" s="9" t="s">
        <v>53</v>
      </c>
      <c r="M5" s="16">
        <v>45723.395833333336</v>
      </c>
      <c r="P5" s="9" t="s">
        <v>66</v>
      </c>
      <c r="Q5" s="9" t="s">
        <v>67</v>
      </c>
      <c r="R5" s="9" t="s">
        <v>36</v>
      </c>
      <c r="S5" s="9" t="s">
        <v>69</v>
      </c>
      <c r="T5" s="10" t="s">
        <v>70</v>
      </c>
      <c r="U5" s="11">
        <v>14</v>
      </c>
      <c r="V5" s="13">
        <v>7280</v>
      </c>
      <c r="W5" s="15" t="s">
        <v>71</v>
      </c>
    </row>
    <row r="6" ht="30" customHeight="1">
      <c r="A6" s="9"/>
      <c r="B6" s="9"/>
      <c r="C6" s="9"/>
      <c r="D6" s="9"/>
      <c r="E6" s="9" t="s">
        <v>54</v>
      </c>
      <c r="F6" s="10" t="s">
        <v>55</v>
      </c>
      <c r="G6" s="11">
        <v>2</v>
      </c>
      <c r="H6" s="12">
        <v>1250</v>
      </c>
      <c r="I6" s="13">
        <v>2500</v>
      </c>
      <c r="J6" s="14" t="s">
        <v>40</v>
      </c>
      <c r="K6" s="15"/>
      <c r="L6" s="9"/>
      <c r="M6" s="16"/>
      <c r="P6" s="9"/>
      <c r="Q6" s="9"/>
      <c r="R6" s="9"/>
      <c r="S6" s="9" t="s">
        <v>73</v>
      </c>
      <c r="T6" s="10" t="s">
        <v>74</v>
      </c>
      <c r="U6" s="11">
        <v>2</v>
      </c>
      <c r="V6" s="13">
        <v>4200</v>
      </c>
      <c r="W6" s="15"/>
    </row>
    <row r="7" ht="30" customHeight="1">
      <c r="A7" s="9"/>
      <c r="B7" s="9"/>
      <c r="C7" s="9"/>
      <c r="D7" s="9"/>
      <c r="E7" s="9" t="s">
        <v>56</v>
      </c>
      <c r="F7" s="10" t="s">
        <v>57</v>
      </c>
      <c r="G7" s="11">
        <v>1</v>
      </c>
      <c r="H7" s="12">
        <v>600</v>
      </c>
      <c r="I7" s="17">
        <v>600</v>
      </c>
      <c r="J7" s="18" t="s">
        <v>45</v>
      </c>
      <c r="K7" s="15"/>
      <c r="L7" s="9"/>
      <c r="M7" s="16"/>
      <c r="P7" s="19">
        <v>2</v>
      </c>
      <c r="U7" s="19">
        <v>25</v>
      </c>
      <c r="V7" s="20">
        <v>24030</v>
      </c>
    </row>
    <row r="8" ht="30" customHeight="1">
      <c r="A8" s="9" t="s">
        <v>58</v>
      </c>
      <c r="B8" s="9" t="s">
        <v>59</v>
      </c>
      <c r="C8" s="9" t="s">
        <v>60</v>
      </c>
      <c r="D8" s="9" t="s">
        <v>61</v>
      </c>
      <c r="E8" s="9" t="s">
        <v>62</v>
      </c>
      <c r="F8" s="10" t="s">
        <v>63</v>
      </c>
      <c r="G8" s="11">
        <v>5</v>
      </c>
      <c r="H8" s="12">
        <v>39</v>
      </c>
      <c r="I8" s="13">
        <v>195</v>
      </c>
      <c r="J8" s="14" t="s">
        <v>40</v>
      </c>
      <c r="K8" s="15" t="s">
        <v>64</v>
      </c>
      <c r="L8" s="9" t="s">
        <v>65</v>
      </c>
      <c r="M8" s="16">
        <v>45728.395833333336</v>
      </c>
    </row>
    <row r="9" ht="60" customHeight="1">
      <c r="A9" s="9" t="s">
        <v>66</v>
      </c>
      <c r="B9" s="9" t="s">
        <v>67</v>
      </c>
      <c r="C9" s="9" t="s">
        <v>36</v>
      </c>
      <c r="D9" s="9" t="s">
        <v>68</v>
      </c>
      <c r="E9" s="9" t="s">
        <v>69</v>
      </c>
      <c r="F9" s="10" t="s">
        <v>70</v>
      </c>
      <c r="G9" s="11">
        <v>14</v>
      </c>
      <c r="H9" s="12">
        <v>520</v>
      </c>
      <c r="I9" s="13">
        <v>7280</v>
      </c>
      <c r="J9" s="14" t="s">
        <v>40</v>
      </c>
      <c r="K9" s="15" t="s">
        <v>71</v>
      </c>
      <c r="L9" s="9" t="s">
        <v>72</v>
      </c>
      <c r="M9" s="16">
        <v>45734.395833333336</v>
      </c>
    </row>
    <row r="10" ht="30" customHeight="1">
      <c r="A10" s="9"/>
      <c r="B10" s="9"/>
      <c r="C10" s="9"/>
      <c r="D10" s="9"/>
      <c r="E10" s="9" t="s">
        <v>73</v>
      </c>
      <c r="F10" s="10" t="s">
        <v>74</v>
      </c>
      <c r="G10" s="11">
        <v>2</v>
      </c>
      <c r="H10" s="12">
        <v>2100</v>
      </c>
      <c r="I10" s="13">
        <v>4200</v>
      </c>
      <c r="J10" s="14" t="s">
        <v>40</v>
      </c>
      <c r="K10" s="15"/>
      <c r="L10" s="9"/>
      <c r="M10" s="16"/>
    </row>
    <row r="11" ht="30" customHeight="1">
      <c r="A11" s="19">
        <v>4</v>
      </c>
      <c r="G11" s="19">
        <v>57</v>
      </c>
      <c r="I11" s="20">
        <v>29221</v>
      </c>
    </row>
    <row r="14" ht="30" customHeight="1">
      <c r="A14" s="7" t="s">
        <v>76</v>
      </c>
      <c r="B14" s="7"/>
      <c r="C14" s="7"/>
      <c r="D14" s="7"/>
      <c r="E14" s="7"/>
      <c r="F14" s="7"/>
      <c r="G14" s="7"/>
      <c r="H14" s="7"/>
      <c r="I14" s="7"/>
      <c r="J14" s="7"/>
      <c r="K14" s="7"/>
    </row>
    <row r="15" ht="30" customHeight="1">
      <c r="A15" s="8" t="s">
        <v>21</v>
      </c>
      <c r="B15" s="8" t="s">
        <v>22</v>
      </c>
      <c r="C15" s="8" t="s">
        <v>23</v>
      </c>
      <c r="D15" s="8" t="s">
        <v>25</v>
      </c>
      <c r="E15" s="8" t="s">
        <v>26</v>
      </c>
      <c r="F15" s="8" t="s">
        <v>27</v>
      </c>
      <c r="G15" s="8" t="s">
        <v>28</v>
      </c>
      <c r="H15" s="8" t="s">
        <v>29</v>
      </c>
      <c r="I15" s="8" t="s">
        <v>30</v>
      </c>
      <c r="J15" s="8" t="s">
        <v>31</v>
      </c>
      <c r="K15" s="8" t="s">
        <v>33</v>
      </c>
    </row>
    <row r="16" ht="60" customHeight="1">
      <c r="A16" s="9" t="s">
        <v>34</v>
      </c>
      <c r="B16" s="9" t="s">
        <v>35</v>
      </c>
      <c r="C16" s="9" t="s">
        <v>36</v>
      </c>
      <c r="D16" s="9" t="s">
        <v>38</v>
      </c>
      <c r="E16" s="10" t="s">
        <v>39</v>
      </c>
      <c r="F16" s="11">
        <v>8</v>
      </c>
      <c r="G16" s="12">
        <v>1450</v>
      </c>
      <c r="H16" s="13">
        <v>11600</v>
      </c>
      <c r="I16" s="14" t="s">
        <v>40</v>
      </c>
      <c r="J16" s="15" t="s">
        <v>41</v>
      </c>
      <c r="K16" s="16">
        <v>45719.395833333336</v>
      </c>
    </row>
    <row r="17" ht="30" customHeight="1">
      <c r="A17" s="9"/>
      <c r="B17" s="9"/>
      <c r="C17" s="9"/>
      <c r="D17" s="9" t="s">
        <v>43</v>
      </c>
      <c r="E17" s="10" t="s">
        <v>44</v>
      </c>
      <c r="F17" s="11">
        <v>1</v>
      </c>
      <c r="G17" s="12">
        <v>950</v>
      </c>
      <c r="H17" s="17">
        <v>950</v>
      </c>
      <c r="I17" s="18" t="s">
        <v>45</v>
      </c>
      <c r="J17" s="15"/>
      <c r="K17" s="16"/>
    </row>
    <row r="18" ht="30" customHeight="1">
      <c r="A18" s="9" t="s">
        <v>46</v>
      </c>
      <c r="B18" s="9" t="s">
        <v>47</v>
      </c>
      <c r="C18" s="9" t="s">
        <v>48</v>
      </c>
      <c r="D18" s="9" t="s">
        <v>50</v>
      </c>
      <c r="E18" s="10" t="s">
        <v>51</v>
      </c>
      <c r="F18" s="11">
        <v>24</v>
      </c>
      <c r="G18" s="12">
        <v>79</v>
      </c>
      <c r="H18" s="13">
        <v>1896</v>
      </c>
      <c r="I18" s="14" t="s">
        <v>40</v>
      </c>
      <c r="J18" s="15" t="s">
        <v>52</v>
      </c>
      <c r="K18" s="16">
        <v>45723.395833333336</v>
      </c>
    </row>
    <row r="19" ht="30" customHeight="1">
      <c r="A19" s="9"/>
      <c r="B19" s="9"/>
      <c r="C19" s="9"/>
      <c r="D19" s="9" t="s">
        <v>54</v>
      </c>
      <c r="E19" s="10" t="s">
        <v>55</v>
      </c>
      <c r="F19" s="11">
        <v>2</v>
      </c>
      <c r="G19" s="12">
        <v>1250</v>
      </c>
      <c r="H19" s="13">
        <v>2500</v>
      </c>
      <c r="I19" s="14" t="s">
        <v>40</v>
      </c>
      <c r="J19" s="15"/>
      <c r="K19" s="16"/>
    </row>
    <row r="20" ht="60" customHeight="1">
      <c r="A20" s="9"/>
      <c r="B20" s="9"/>
      <c r="C20" s="9"/>
      <c r="D20" s="9" t="s">
        <v>56</v>
      </c>
      <c r="E20" s="10" t="s">
        <v>57</v>
      </c>
      <c r="F20" s="11">
        <v>1</v>
      </c>
      <c r="G20" s="12">
        <v>600</v>
      </c>
      <c r="H20" s="17">
        <v>600</v>
      </c>
      <c r="I20" s="18" t="s">
        <v>45</v>
      </c>
      <c r="J20" s="15"/>
      <c r="K20" s="16"/>
    </row>
    <row r="21" ht="30" customHeight="1">
      <c r="A21" s="9" t="s">
        <v>58</v>
      </c>
      <c r="B21" s="9" t="s">
        <v>59</v>
      </c>
      <c r="C21" s="9" t="s">
        <v>60</v>
      </c>
      <c r="D21" s="9" t="s">
        <v>62</v>
      </c>
      <c r="E21" s="10" t="s">
        <v>63</v>
      </c>
      <c r="F21" s="11">
        <v>5</v>
      </c>
      <c r="G21" s="12">
        <v>39</v>
      </c>
      <c r="H21" s="13">
        <v>195</v>
      </c>
      <c r="I21" s="14" t="s">
        <v>40</v>
      </c>
      <c r="J21" s="15" t="s">
        <v>64</v>
      </c>
      <c r="K21" s="16">
        <v>45728.395833333336</v>
      </c>
    </row>
    <row r="22" ht="60" customHeight="1">
      <c r="A22" s="9" t="s">
        <v>66</v>
      </c>
      <c r="B22" s="9" t="s">
        <v>67</v>
      </c>
      <c r="C22" s="9" t="s">
        <v>36</v>
      </c>
      <c r="D22" s="9" t="s">
        <v>69</v>
      </c>
      <c r="E22" s="10" t="s">
        <v>70</v>
      </c>
      <c r="F22" s="11">
        <v>14</v>
      </c>
      <c r="G22" s="12">
        <v>520</v>
      </c>
      <c r="H22" s="13">
        <v>7280</v>
      </c>
      <c r="I22" s="14" t="s">
        <v>40</v>
      </c>
      <c r="J22" s="15" t="s">
        <v>71</v>
      </c>
      <c r="K22" s="16">
        <v>45734.395833333336</v>
      </c>
    </row>
    <row r="23" ht="30" customHeight="1">
      <c r="A23" s="9"/>
      <c r="B23" s="9"/>
      <c r="C23" s="9"/>
      <c r="D23" s="9" t="s">
        <v>73</v>
      </c>
      <c r="E23" s="10" t="s">
        <v>74</v>
      </c>
      <c r="F23" s="11">
        <v>2</v>
      </c>
      <c r="G23" s="12">
        <v>2100</v>
      </c>
      <c r="H23" s="13">
        <v>4200</v>
      </c>
      <c r="I23" s="14" t="s">
        <v>40</v>
      </c>
      <c r="J23" s="15"/>
      <c r="K23" s="16"/>
    </row>
    <row r="24" ht="30" customHeight="1">
      <c r="A24" s="19">
        <v>4</v>
      </c>
      <c r="F24" s="19">
        <v>57</v>
      </c>
      <c r="H24" s="20">
        <v>29221</v>
      </c>
    </row>
  </sheetData>
  <mergeCells count="47">
    <mergeCell ref="A1:M1"/>
    <mergeCell ref="A3:A4"/>
    <mergeCell ref="B3:B4"/>
    <mergeCell ref="C3:C4"/>
    <mergeCell ref="D3:D4"/>
    <mergeCell ref="K3:K4"/>
    <mergeCell ref="L3:L4"/>
    <mergeCell ref="M3:M4"/>
    <mergeCell ref="A5:A7"/>
    <mergeCell ref="B5:B7"/>
    <mergeCell ref="C5:C7"/>
    <mergeCell ref="D5:D7"/>
    <mergeCell ref="K5:K7"/>
    <mergeCell ref="L5:L7"/>
    <mergeCell ref="M5:M7"/>
    <mergeCell ref="A9:A10"/>
    <mergeCell ref="B9:B10"/>
    <mergeCell ref="C9:C10"/>
    <mergeCell ref="D9:D10"/>
    <mergeCell ref="K9:K10"/>
    <mergeCell ref="L9:L10"/>
    <mergeCell ref="M9:M10"/>
    <mergeCell ref="P1:W1"/>
    <mergeCell ref="P3:P4"/>
    <mergeCell ref="Q3:Q4"/>
    <mergeCell ref="R3:R4"/>
    <mergeCell ref="W3:W4"/>
    <mergeCell ref="P5:P6"/>
    <mergeCell ref="Q5:Q6"/>
    <mergeCell ref="R5:R6"/>
    <mergeCell ref="W5:W6"/>
    <mergeCell ref="A14:K14"/>
    <mergeCell ref="A16:A17"/>
    <mergeCell ref="B16:B17"/>
    <mergeCell ref="C16:C17"/>
    <mergeCell ref="J16:J17"/>
    <mergeCell ref="K16:K17"/>
    <mergeCell ref="A18:A20"/>
    <mergeCell ref="B18:B20"/>
    <mergeCell ref="C18:C20"/>
    <mergeCell ref="J18:J20"/>
    <mergeCell ref="K18:K20"/>
    <mergeCell ref="A22:A23"/>
    <mergeCell ref="B22:B23"/>
    <mergeCell ref="C22:C23"/>
    <mergeCell ref="J22:J23"/>
    <mergeCell ref="K22:K2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 rightToLeft="1">
      <pane xSplit="2" ySplit="1" topLeftCell="C2" state="frozen" activePane="bottomRight"/>
      <selection pane="topRight"/>
      <selection pane="bottomLeft"/>
      <selection pane="bottomRight" activeCell="C2" sqref="C2"/>
    </sheetView>
  </sheetViews>
  <sheetFormatPr defaultRowHeight="30"/>
  <cols>
    <col min="1" max="1" width="17" customWidth="1"/>
    <col min="2" max="2" width="23" customWidth="1"/>
    <col min="3" max="3" width="23" customWidth="1"/>
    <col min="4" max="4" width="29" customWidth="1"/>
    <col min="5" max="5" width="17" customWidth="1"/>
    <col min="6" max="6" width="30" customWidth="1"/>
    <col min="7" max="7" width="13" customWidth="1"/>
    <col min="8" max="8" width="17" customWidth="1"/>
    <col min="9" max="9" width="17" customWidth="1"/>
    <col min="10" max="10" width="17" customWidth="1"/>
    <col min="11" max="11" width="32" customWidth="1"/>
    <col min="12" max="12" width="32" customWidth="1"/>
    <col min="13" max="13" width="27" customWidth="1"/>
  </cols>
  <sheetData>
    <row r="1" ht="30" customHeight="1">
      <c r="A1" s="7" t="s">
        <v>77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>
      <c r="A2" s="8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8" t="s">
        <v>29</v>
      </c>
      <c r="J2" s="8" t="s">
        <v>30</v>
      </c>
      <c r="K2" s="8" t="s">
        <v>31</v>
      </c>
      <c r="L2" s="8" t="s">
        <v>32</v>
      </c>
      <c r="M2" s="8" t="s">
        <v>33</v>
      </c>
    </row>
    <row r="3" ht="60" customHeight="1">
      <c r="A3" s="9" t="s">
        <v>34</v>
      </c>
      <c r="B3" s="9" t="s">
        <v>35</v>
      </c>
      <c r="C3" s="9" t="s">
        <v>36</v>
      </c>
      <c r="D3" s="9" t="s">
        <v>37</v>
      </c>
      <c r="E3" s="9" t="s">
        <v>38</v>
      </c>
      <c r="F3" s="10" t="s">
        <v>39</v>
      </c>
      <c r="G3" s="11">
        <v>8</v>
      </c>
      <c r="H3" s="12">
        <v>1450</v>
      </c>
      <c r="I3" s="13">
        <v>11600</v>
      </c>
      <c r="J3" s="14" t="s">
        <v>40</v>
      </c>
      <c r="K3" s="15" t="s">
        <v>41</v>
      </c>
      <c r="L3" s="9" t="s">
        <v>42</v>
      </c>
      <c r="M3" s="16">
        <v>45719.395833333336</v>
      </c>
    </row>
    <row r="4" ht="30" customHeight="1">
      <c r="A4" s="9"/>
      <c r="B4" s="9"/>
      <c r="C4" s="9"/>
      <c r="D4" s="9"/>
      <c r="E4" s="9" t="s">
        <v>43</v>
      </c>
      <c r="F4" s="10" t="s">
        <v>44</v>
      </c>
      <c r="G4" s="11">
        <v>1</v>
      </c>
      <c r="H4" s="12">
        <v>950</v>
      </c>
      <c r="I4" s="17">
        <v>950</v>
      </c>
      <c r="J4" s="18" t="s">
        <v>45</v>
      </c>
      <c r="K4" s="15"/>
      <c r="L4" s="9"/>
      <c r="M4" s="16"/>
    </row>
    <row r="5" ht="30" customHeight="1">
      <c r="A5" s="9" t="s">
        <v>46</v>
      </c>
      <c r="B5" s="9" t="s">
        <v>47</v>
      </c>
      <c r="C5" s="9" t="s">
        <v>48</v>
      </c>
      <c r="D5" s="9" t="s">
        <v>49</v>
      </c>
      <c r="E5" s="9" t="s">
        <v>50</v>
      </c>
      <c r="F5" s="10" t="s">
        <v>51</v>
      </c>
      <c r="G5" s="11">
        <v>24</v>
      </c>
      <c r="H5" s="12">
        <v>79</v>
      </c>
      <c r="I5" s="13">
        <v>1896</v>
      </c>
      <c r="J5" s="14" t="s">
        <v>40</v>
      </c>
      <c r="K5" s="15" t="s">
        <v>52</v>
      </c>
      <c r="L5" s="9" t="s">
        <v>53</v>
      </c>
      <c r="M5" s="16">
        <v>45723.395833333336</v>
      </c>
    </row>
    <row r="6" ht="30" customHeight="1">
      <c r="A6" s="9"/>
      <c r="B6" s="9"/>
      <c r="C6" s="9"/>
      <c r="D6" s="9"/>
      <c r="E6" s="9" t="s">
        <v>54</v>
      </c>
      <c r="F6" s="10" t="s">
        <v>55</v>
      </c>
      <c r="G6" s="11">
        <v>2</v>
      </c>
      <c r="H6" s="12">
        <v>1250</v>
      </c>
      <c r="I6" s="13">
        <v>2500</v>
      </c>
      <c r="J6" s="14" t="s">
        <v>40</v>
      </c>
      <c r="K6" s="15"/>
      <c r="L6" s="9"/>
      <c r="M6" s="16"/>
    </row>
    <row r="7" ht="60" customHeight="1">
      <c r="A7" s="9"/>
      <c r="B7" s="9"/>
      <c r="C7" s="9"/>
      <c r="D7" s="9"/>
      <c r="E7" s="9" t="s">
        <v>56</v>
      </c>
      <c r="F7" s="10" t="s">
        <v>57</v>
      </c>
      <c r="G7" s="11">
        <v>1</v>
      </c>
      <c r="H7" s="12">
        <v>600</v>
      </c>
      <c r="I7" s="17">
        <v>600</v>
      </c>
      <c r="J7" s="18" t="s">
        <v>45</v>
      </c>
      <c r="K7" s="15"/>
      <c r="L7" s="9"/>
      <c r="M7" s="16"/>
    </row>
    <row r="8" ht="30" customHeight="1">
      <c r="A8" s="19">
        <v>2</v>
      </c>
      <c r="G8" s="19">
        <v>36</v>
      </c>
      <c r="I8" s="20">
        <v>17546</v>
      </c>
    </row>
  </sheetData>
  <mergeCells count="15">
    <mergeCell ref="A1:M1"/>
    <mergeCell ref="A3:A4"/>
    <mergeCell ref="B3:B4"/>
    <mergeCell ref="C3:C4"/>
    <mergeCell ref="D3:D4"/>
    <mergeCell ref="K3:K4"/>
    <mergeCell ref="L3:L4"/>
    <mergeCell ref="M3:M4"/>
    <mergeCell ref="A5:A7"/>
    <mergeCell ref="B5:B7"/>
    <mergeCell ref="C5:C7"/>
    <mergeCell ref="D5:D7"/>
    <mergeCell ref="K5:K7"/>
    <mergeCell ref="L5:L7"/>
    <mergeCell ref="M5:M7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state="frozen" activePane="bottomLeft"/>
      <selection pane="bottomLeft" activeCell="A2" sqref="A2"/>
    </sheetView>
  </sheetViews>
  <sheetFormatPr defaultRowHeight="30"/>
  <cols>
    <col min="1" max="1" width="17" customWidth="1"/>
    <col min="2" max="2" width="23" customWidth="1"/>
    <col min="3" max="3" width="23" customWidth="1"/>
    <col min="4" max="4" width="29" customWidth="1"/>
    <col min="5" max="5" width="32" customWidth="1"/>
    <col min="6" max="6" width="42" customWidth="1"/>
    <col min="7" max="7" width="27" customWidth="1"/>
  </cols>
  <sheetData>
    <row r="1" ht="30" customHeight="1">
      <c r="A1" s="7" t="s">
        <v>78</v>
      </c>
      <c r="B1" s="7"/>
      <c r="C1" s="7"/>
      <c r="D1" s="7"/>
      <c r="E1" s="7"/>
      <c r="F1" s="7"/>
      <c r="G1" s="7"/>
    </row>
    <row r="2" ht="30" customHeight="1">
      <c r="A2" s="8" t="s">
        <v>21</v>
      </c>
      <c r="B2" s="8" t="s">
        <v>22</v>
      </c>
      <c r="C2" s="8" t="s">
        <v>23</v>
      </c>
      <c r="D2" s="8" t="s">
        <v>24</v>
      </c>
      <c r="E2" s="8" t="s">
        <v>31</v>
      </c>
      <c r="F2" s="8" t="s">
        <v>32</v>
      </c>
      <c r="G2" s="8" t="s">
        <v>33</v>
      </c>
    </row>
    <row r="3" ht="60" customHeight="1">
      <c r="A3" s="9" t="s">
        <v>34</v>
      </c>
      <c r="B3" s="9" t="s">
        <v>35</v>
      </c>
      <c r="C3" s="9" t="s">
        <v>36</v>
      </c>
      <c r="D3" s="9" t="s">
        <v>37</v>
      </c>
      <c r="E3" s="15" t="s">
        <v>41</v>
      </c>
      <c r="F3" s="9" t="s">
        <v>42</v>
      </c>
      <c r="G3" s="16">
        <v>45719.395833333336</v>
      </c>
    </row>
    <row r="4" ht="30" customHeight="1">
      <c r="A4" s="9" t="s">
        <v>46</v>
      </c>
      <c r="B4" s="9" t="s">
        <v>47</v>
      </c>
      <c r="C4" s="9" t="s">
        <v>48</v>
      </c>
      <c r="D4" s="9" t="s">
        <v>49</v>
      </c>
      <c r="E4" s="15" t="s">
        <v>52</v>
      </c>
      <c r="F4" s="9" t="s">
        <v>53</v>
      </c>
      <c r="G4" s="16">
        <v>45723.395833333336</v>
      </c>
    </row>
    <row r="5" ht="30" customHeight="1">
      <c r="A5" s="9" t="s">
        <v>58</v>
      </c>
      <c r="B5" s="9" t="s">
        <v>59</v>
      </c>
      <c r="C5" s="9" t="s">
        <v>60</v>
      </c>
      <c r="D5" s="9" t="s">
        <v>61</v>
      </c>
      <c r="E5" s="15" t="s">
        <v>64</v>
      </c>
      <c r="F5" s="9" t="s">
        <v>65</v>
      </c>
      <c r="G5" s="16">
        <v>45728.395833333336</v>
      </c>
    </row>
    <row r="6" ht="60" customHeight="1">
      <c r="A6" s="9" t="s">
        <v>66</v>
      </c>
      <c r="B6" s="9" t="s">
        <v>67</v>
      </c>
      <c r="C6" s="9" t="s">
        <v>36</v>
      </c>
      <c r="D6" s="9" t="s">
        <v>68</v>
      </c>
      <c r="E6" s="15" t="s">
        <v>71</v>
      </c>
      <c r="F6" s="9" t="s">
        <v>72</v>
      </c>
      <c r="G6" s="16">
        <v>45734.395833333336</v>
      </c>
    </row>
    <row r="7" ht="30" customHeight="1">
      <c r="A7" s="19">
        <v>4</v>
      </c>
    </row>
  </sheetData>
  <autoFilter ref="A2:G7"/>
  <mergeCells count="1">
    <mergeCell ref="A1:G1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state="frozen" activePane="bottomLeft"/>
      <selection pane="bottomLeft" activeCell="A2" sqref="A2"/>
    </sheetView>
  </sheetViews>
  <sheetFormatPr defaultRowHeight="30"/>
  <cols>
    <col min="1" max="1" width="23" customWidth="1"/>
    <col min="2" max="2" width="17" customWidth="1"/>
    <col min="3" max="3" width="14" customWidth="1"/>
    <col min="4" max="4" width="17" customWidth="1"/>
    <col min="5" max="5" width="27" customWidth="1"/>
  </cols>
  <sheetData>
    <row r="1" ht="30" customHeight="1">
      <c r="A1" s="7" t="s">
        <v>79</v>
      </c>
      <c r="B1" s="7"/>
      <c r="C1" s="7"/>
      <c r="D1" s="7"/>
      <c r="E1" s="7"/>
    </row>
    <row r="2" ht="30" customHeight="1">
      <c r="A2" s="8" t="s">
        <v>22</v>
      </c>
      <c r="B2" s="8" t="s">
        <v>80</v>
      </c>
      <c r="C2" s="8" t="s">
        <v>81</v>
      </c>
      <c r="D2" s="8" t="s">
        <v>82</v>
      </c>
      <c r="E2" s="8" t="s">
        <v>33</v>
      </c>
    </row>
    <row r="3" ht="30" customHeight="1">
      <c r="A3" s="9" t="s">
        <v>35</v>
      </c>
      <c r="B3" s="12">
        <v>12550</v>
      </c>
      <c r="C3" s="11">
        <v>2</v>
      </c>
      <c r="D3" s="21">
        <v>0.5</v>
      </c>
      <c r="E3" s="16">
        <v>45719.395833333336</v>
      </c>
    </row>
    <row r="4" ht="30" customHeight="1">
      <c r="A4" s="9" t="s">
        <v>47</v>
      </c>
      <c r="B4" s="12">
        <v>4996</v>
      </c>
      <c r="C4" s="11">
        <v>3</v>
      </c>
      <c r="D4" s="21">
        <v>0.6666666666666666</v>
      </c>
      <c r="E4" s="16">
        <v>45723.395833333336</v>
      </c>
    </row>
    <row r="5" ht="30" customHeight="1">
      <c r="A5" s="9" t="s">
        <v>59</v>
      </c>
      <c r="B5" s="12">
        <v>195</v>
      </c>
      <c r="C5" s="11">
        <v>1</v>
      </c>
      <c r="D5" s="21">
        <v>1</v>
      </c>
      <c r="E5" s="16">
        <v>45728.395833333336</v>
      </c>
    </row>
    <row r="6" ht="30" customHeight="1">
      <c r="A6" s="9" t="s">
        <v>67</v>
      </c>
      <c r="B6" s="12">
        <v>11480</v>
      </c>
      <c r="C6" s="11">
        <v>2</v>
      </c>
      <c r="D6" s="21">
        <v>1</v>
      </c>
      <c r="E6" s="16">
        <v>45734.395833333336</v>
      </c>
    </row>
    <row r="7" ht="30" customHeight="1">
      <c r="A7" s="19" t="s">
        <v>83</v>
      </c>
      <c r="B7" s="20">
        <f>ROUND(SUM(B3:B6),2)</f>
      </c>
      <c r="C7" s="22">
        <f>SUM(C3:C6)</f>
      </c>
      <c r="D7" s="23">
        <f>ROUND(AVERAGE(D3:D6),4)</f>
      </c>
      <c r="E7" s="19"/>
    </row>
    <row r="8" ht="30" customHeight="1">
      <c r="A8" s="19" t="s">
        <v>84</v>
      </c>
      <c r="B8" s="20">
        <f>ROUND(AVERAGE(B3:B6),2)</f>
      </c>
      <c r="C8" s="22">
        <f>AVERAGE(C3:C6)</f>
      </c>
      <c r="D8" s="23">
        <f>MAX(MAX(D3:D6),0)</f>
      </c>
      <c r="E8" s="24">
        <f>MAX(MAX(E3:E6),0)</f>
      </c>
    </row>
  </sheetData>
  <mergeCells count="1">
    <mergeCell ref="A1:E1"/>
  </mergeCells>
  <conditionalFormatting sqref="B7">
    <cfRule type="expression" dxfId="0" priority="1">
      <formula>(B7&gt;=40000)</formula>
    </cfRule>
  </conditionalFormatting>
  <conditionalFormatting sqref="D7">
    <cfRule type="expression" dxfId="1" priority="2">
      <formula>(D7&lt;0.6)</formula>
    </cfRule>
    <cfRule type="expression" dxfId="0" priority="3">
      <formula>(D7&gt;=0.85)</formula>
    </cfRule>
  </conditionalFormatting>
  <conditionalFormatting sqref="B8">
    <cfRule type="expression" dxfId="1" priority="4">
      <formula>(B8&lt;5000)</formula>
    </cfRule>
    <cfRule type="expression" dxfId="0" priority="5">
      <formula>(B8&gt;=8000)</formula>
    </cfRule>
  </conditionalFormatting>
  <conditionalFormatting sqref="D8">
    <cfRule type="expression" dxfId="2" priority="6">
      <formula>(D8&gt;=0.95)</formula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1" topLeftCell="A2" state="frozen" activePane="bottomLeft"/>
      <selection pane="bottomLeft" activeCell="A2" sqref="A2"/>
    </sheetView>
  </sheetViews>
  <sheetFormatPr defaultRowHeight="30"/>
  <cols>
    <col min="1" max="1" width="23" customWidth="1"/>
    <col min="2" max="2" width="13" customWidth="1"/>
    <col min="3" max="3" width="17" customWidth="1"/>
    <col min="4" max="4" width="15" customWidth="1"/>
    <col min="5" max="5" width="15" customWidth="1"/>
    <col min="6" max="6" width="17" customWidth="1"/>
    <col min="7" max="7" width="17" customWidth="1"/>
    <col min="8" max="8" width="17" customWidth="1"/>
    <col min="9" max="9" width="17" customWidth="1"/>
    <col min="10" max="10" width="15" customWidth="1"/>
  </cols>
  <sheetData>
    <row r="1" ht="30" customHeight="1">
      <c r="A1" s="7" t="s">
        <v>85</v>
      </c>
      <c r="B1" s="7"/>
      <c r="C1" s="7"/>
      <c r="D1" s="7"/>
      <c r="E1" s="7"/>
      <c r="F1" s="7"/>
      <c r="G1" s="7"/>
      <c r="H1" s="7"/>
      <c r="I1" s="7"/>
      <c r="J1" s="7"/>
    </row>
    <row r="2" ht="30" customHeight="1">
      <c r="A2" s="8" t="s">
        <v>22</v>
      </c>
      <c r="B2" s="8" t="s">
        <v>27</v>
      </c>
      <c r="C2" s="8" t="s">
        <v>28</v>
      </c>
      <c r="D2" s="8" t="s">
        <v>86</v>
      </c>
      <c r="E2" s="8" t="s">
        <v>87</v>
      </c>
      <c r="F2" s="8" t="s">
        <v>88</v>
      </c>
      <c r="G2" s="8" t="s">
        <v>89</v>
      </c>
      <c r="H2" s="8" t="s">
        <v>90</v>
      </c>
      <c r="I2" s="8" t="s">
        <v>3</v>
      </c>
      <c r="J2" s="8" t="s">
        <v>17</v>
      </c>
    </row>
    <row r="3" ht="30" customHeight="1">
      <c r="A3" s="9" t="s">
        <v>35</v>
      </c>
      <c r="B3" s="11">
        <v>9</v>
      </c>
      <c r="C3" s="12">
        <v>1200</v>
      </c>
      <c r="D3" s="25">
        <v>0.18</v>
      </c>
      <c r="E3" s="11">
        <v>8</v>
      </c>
      <c r="F3" s="12">
        <f>ROUND((B3*C3),2)</f>
      </c>
      <c r="G3" s="21">
        <f>ROUND(IF((B3&lt;&gt;0),(E3/B3),0),4)</f>
      </c>
      <c r="H3" s="12">
        <f>ROUND((F3*(1-D3)),2)</f>
      </c>
      <c r="I3" s="9">
        <f>IF(OR((H3&gt;=5000),(G3&gt;=0.85)),"HIGH",IF((D3&gt;=0.15),"WATCH","STANDARD"))</f>
      </c>
      <c r="J3" s="9">
        <f>IF(OR((I3="WATCH"),(G3&lt;0.5)),"REVIEW","OK")</f>
      </c>
    </row>
    <row r="4" ht="30" customHeight="1">
      <c r="A4" s="9" t="s">
        <v>47</v>
      </c>
      <c r="B4" s="11">
        <v>27</v>
      </c>
      <c r="C4" s="12">
        <v>643</v>
      </c>
      <c r="D4" s="25">
        <v>0.1</v>
      </c>
      <c r="E4" s="11">
        <v>26</v>
      </c>
      <c r="F4" s="12">
        <f>ROUND((B4*C4),2)</f>
      </c>
      <c r="G4" s="21">
        <f>ROUND(IF((B4&lt;&gt;0),(E4/B4),0),4)</f>
      </c>
      <c r="H4" s="12">
        <f>ROUND((F4*(1-D4)),2)</f>
      </c>
      <c r="I4" s="9">
        <f>IF(OR((H4&gt;=5000),(G4&gt;=0.85)),"HIGH",IF((D4&gt;=0.15),"WATCH","STANDARD"))</f>
      </c>
      <c r="J4" s="9">
        <f>IF(OR((I4="WATCH"),(G4&lt;0.5)),"REVIEW","OK")</f>
      </c>
    </row>
    <row r="5" ht="30" customHeight="1">
      <c r="A5" s="9" t="s">
        <v>59</v>
      </c>
      <c r="B5" s="11">
        <v>5</v>
      </c>
      <c r="C5" s="12">
        <v>39</v>
      </c>
      <c r="D5" s="25">
        <v>0.03</v>
      </c>
      <c r="E5" s="11">
        <v>5</v>
      </c>
      <c r="F5" s="12">
        <f>ROUND((B5*C5),2)</f>
      </c>
      <c r="G5" s="21">
        <f>ROUND(IF((B5&lt;&gt;0),(E5/B5),0),4)</f>
      </c>
      <c r="H5" s="12">
        <f>ROUND((F5*(1-D5)),2)</f>
      </c>
      <c r="I5" s="9">
        <f>IF(OR((H5&gt;=5000),(G5&gt;=0.85)),"HIGH",IF((D5&gt;=0.15),"WATCH","STANDARD"))</f>
      </c>
      <c r="J5" s="9">
        <f>IF(OR((I5="WATCH"),(G5&lt;0.5)),"REVIEW","OK")</f>
      </c>
    </row>
    <row r="6" ht="30" customHeight="1">
      <c r="A6" s="9" t="s">
        <v>67</v>
      </c>
      <c r="B6" s="11">
        <v>16</v>
      </c>
      <c r="C6" s="12">
        <v>1310</v>
      </c>
      <c r="D6" s="25">
        <v>0.18</v>
      </c>
      <c r="E6" s="11">
        <v>16</v>
      </c>
      <c r="F6" s="12">
        <f>ROUND((B6*C6),2)</f>
      </c>
      <c r="G6" s="21">
        <f>ROUND(IF((B6&lt;&gt;0),(E6/B6),0),4)</f>
      </c>
      <c r="H6" s="12">
        <f>ROUND((F6*(1-D6)),2)</f>
      </c>
      <c r="I6" s="9">
        <f>IF(OR((H6&gt;=5000),(G6&gt;=0.85)),"HIGH",IF((D6&gt;=0.15),"WATCH","STANDARD"))</f>
      </c>
      <c r="J6" s="9">
        <f>IF(OR((I6="WATCH"),(G6&lt;0.5)),"REVIEW","OK")</f>
      </c>
    </row>
    <row r="7" ht="30" customHeight="1">
      <c r="F7" s="20">
        <f>ROUND(SUM(F3:F6),2)</f>
      </c>
      <c r="H7" s="20">
        <f>ROUND(SUM(H3:H6),2)</f>
      </c>
    </row>
  </sheetData>
  <mergeCells count="1">
    <mergeCell ref="A1:J1"/>
  </mergeCells>
  <conditionalFormatting sqref="H4:H7">
    <cfRule type="expression" dxfId="1" priority="1">
      <formula>($H2&lt;1000)</formula>
    </cfRule>
    <cfRule type="expression" dxfId="0" priority="2">
      <formula>AND(($H2&gt;=5000),(G2&gt;=0.85))</formula>
    </cfRule>
  </conditionalFormatting>
  <conditionalFormatting sqref="J4:J7">
    <cfRule type="expression" dxfId="3" priority="3">
      <formula>($J2="REVIEW")</formula>
    </cfRule>
    <cfRule type="expression" dxfId="0" priority="4">
      <formula>($J2="OK")</formula>
    </cfRule>
  </conditionalFormatting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state="frozen" activePane="bottomLeft"/>
      <selection pane="bottomLeft" activeCell="A2" sqref="A2"/>
    </sheetView>
  </sheetViews>
  <sheetFormatPr defaultRowHeight="30"/>
  <cols>
    <col min="1" max="1" width="23" customWidth="1"/>
    <col min="2" max="2" width="17" customWidth="1"/>
    <col min="3" max="3" width="17" customWidth="1"/>
    <col min="4" max="4" width="19" customWidth="1"/>
  </cols>
  <sheetData>
    <row r="1" ht="30" customHeight="1">
      <c r="A1" s="7" t="s">
        <v>91</v>
      </c>
      <c r="B1" s="7"/>
      <c r="C1" s="7"/>
      <c r="D1" s="7"/>
    </row>
    <row r="2" ht="30" customHeight="1">
      <c r="A2" s="8" t="s">
        <v>92</v>
      </c>
      <c r="B2" s="8" t="s">
        <v>93</v>
      </c>
      <c r="C2" s="8" t="s">
        <v>80</v>
      </c>
      <c r="D2" s="8" t="s">
        <v>94</v>
      </c>
    </row>
    <row r="3" ht="30" customHeight="1">
      <c r="A3" s="9" t="s">
        <v>35</v>
      </c>
      <c r="B3" s="9" t="s">
        <v>95</v>
      </c>
      <c r="C3" s="12">
        <v>12550</v>
      </c>
      <c r="D3" s="26">
        <v>45719.395833333336</v>
      </c>
    </row>
    <row r="4" ht="30" customHeight="1">
      <c r="A4" s="9" t="s">
        <v>47</v>
      </c>
      <c r="B4" s="9" t="s">
        <v>96</v>
      </c>
      <c r="C4" s="12">
        <v>4996</v>
      </c>
      <c r="D4" s="26">
        <v>45723.395833333336</v>
      </c>
    </row>
    <row r="5" ht="30" customHeight="1">
      <c r="A5" s="9" t="s">
        <v>59</v>
      </c>
      <c r="B5" s="9" t="s">
        <v>97</v>
      </c>
      <c r="C5" s="12">
        <v>195</v>
      </c>
      <c r="D5" s="26">
        <v>45728.395833333336</v>
      </c>
    </row>
    <row r="6" ht="30" customHeight="1">
      <c r="A6" s="9" t="s">
        <v>67</v>
      </c>
      <c r="B6" s="9" t="s">
        <v>95</v>
      </c>
      <c r="C6" s="12">
        <v>11480</v>
      </c>
      <c r="D6" s="26">
        <v>45734.395833333336</v>
      </c>
    </row>
    <row r="7" ht="30" customHeight="1">
      <c r="C7" s="19" t="s">
        <v>83</v>
      </c>
    </row>
    <row r="8" ht="30" customHeight="1">
      <c r="C8" s="20">
        <f>SUM(C3:C6)</f>
      </c>
    </row>
  </sheetData>
  <mergeCells count="1">
    <mergeCell ref="A1:D1"/>
  </mergeCells>
  <dataValidations count="3">
    <dataValidation sqref="B4:B7" type="list" showInputMessage="1" promptTitle="Allowed values" prompt="Choose draft, active, or archived" showErrorMessage="1" errorTitle="Invalid status" error="Use one of the allowed workflow states" errorStyle="stop">
      <formula1>"draft,active,archived"</formula1>
    </dataValidation>
    <dataValidation sqref="C4:C7" type="whole" operator="between" allowBlank="1" showErrorMessage="1" errorStyle="stop">
      <formula1>100</formula1>
      <formula2>100000</formula2>
    </dataValidation>
    <dataValidation sqref="D4:D7" type="date" operator="greaterThanOrEqual" showErrorMessage="1" errorStyle="stop">
      <formula1>45658</formula1>
    </dataValidation>
  </dataValidation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state="frozen" activePane="bottomLeft"/>
      <selection pane="bottomLeft" activeCell="A2" sqref="A2"/>
    </sheetView>
  </sheetViews>
  <sheetFormatPr defaultRowHeight="30"/>
  <cols>
    <col min="1" max="1" width="23" customWidth="1"/>
    <col min="2" max="2" width="21" customWidth="1"/>
    <col min="3" max="3" width="21" customWidth="1"/>
  </cols>
  <sheetData>
    <row r="1" ht="30" customHeight="1">
      <c r="A1" s="7" t="s">
        <v>98</v>
      </c>
      <c r="B1" s="7"/>
      <c r="C1" s="7"/>
    </row>
    <row r="2" ht="30" customHeight="1">
      <c r="A2" s="8" t="s">
        <v>92</v>
      </c>
      <c r="B2" s="8" t="s">
        <v>99</v>
      </c>
      <c r="C2" s="8" t="s">
        <v>100</v>
      </c>
    </row>
    <row r="3" ht="30" customHeight="1">
      <c r="A3" s="27" t="s">
        <v>35</v>
      </c>
      <c r="B3" s="28">
        <v>12550</v>
      </c>
      <c r="C3" s="29">
        <f>ROUND((B3*0.9),0)</f>
      </c>
    </row>
    <row r="4" ht="30" customHeight="1">
      <c r="A4" s="27" t="s">
        <v>47</v>
      </c>
      <c r="B4" s="28">
        <v>4996</v>
      </c>
      <c r="C4" s="29">
        <f>ROUND((B4*0.9),0)</f>
      </c>
    </row>
    <row r="5" ht="30" customHeight="1">
      <c r="A5" s="27" t="s">
        <v>59</v>
      </c>
      <c r="B5" s="28">
        <v>195</v>
      </c>
      <c r="C5" s="29">
        <f>ROUND((B5*0.9),0)</f>
      </c>
    </row>
    <row r="6" ht="30" customHeight="1">
      <c r="A6" s="27" t="s">
        <v>67</v>
      </c>
      <c r="B6" s="28">
        <v>11480</v>
      </c>
      <c r="C6" s="29">
        <f>ROUND((B6*0.9),0)</f>
      </c>
    </row>
  </sheetData>
  <sheetProtection sheet="1" password="A456" selectLockedCells="1"/>
  <mergeCells count="1">
    <mergeCell ref="A1:C1"/>
  </mergeCells>
  <dataValidations count="1">
    <dataValidation sqref="B4:B7" type="whole" operator="between" showErrorMessage="1" errorTitle="Invalid budget" error="Use a whole number between 1,000 and 50,000" errorStyle="stop">
      <formula1>1000</formula1>
      <formula2>50000</formula2>
    </dataValidation>
  </dataValidation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state="frozen" activePane="bottomLeft"/>
      <selection pane="bottomLeft" activeCell="A2" sqref="A2"/>
    </sheetView>
  </sheetViews>
  <sheetFormatPr defaultRowHeight="30"/>
  <cols>
    <col min="1" max="1" width="25" customWidth="1"/>
    <col min="2" max="2" width="29" customWidth="1"/>
  </cols>
  <sheetData>
    <row r="1" ht="30" customHeight="1">
      <c r="A1" s="7" t="s">
        <v>101</v>
      </c>
      <c r="B1" s="7"/>
    </row>
    <row r="2" ht="30" customHeight="1">
      <c r="A2" s="8" t="s">
        <v>22</v>
      </c>
      <c r="B2" s="8" t="s">
        <v>24</v>
      </c>
    </row>
    <row r="3" ht="30" customHeight="1">
      <c r="A3" s="30" t="s">
        <v>35</v>
      </c>
      <c r="B3" s="31" t="s">
        <v>37</v>
      </c>
    </row>
    <row r="4" ht="30" customHeight="1">
      <c r="A4" s="9" t="s">
        <v>47</v>
      </c>
      <c r="B4" s="31" t="s">
        <v>49</v>
      </c>
    </row>
    <row r="5" ht="30" customHeight="1">
      <c r="A5" s="30" t="s">
        <v>59</v>
      </c>
      <c r="B5" s="31" t="s">
        <v>61</v>
      </c>
    </row>
    <row r="6" ht="30" customHeight="1">
      <c r="A6" s="9" t="s">
        <v>67</v>
      </c>
      <c r="B6" s="31" t="s">
        <v>68</v>
      </c>
    </row>
  </sheetData>
  <mergeCells count="1">
    <mergeCell ref="A1:B1"/>
  </mergeCells>
  <hyperlinks>
    <hyperlink ref="A3" tooltip="Open customer record" r:id="rIdHyperlink1"/>
    <hyperlink ref="B3" tooltip="Send email" r:id="rIdHyperlink2"/>
    <hyperlink ref="B4" tooltip="Send email" r:id="rIdHyperlink3"/>
    <hyperlink ref="A5" tooltip="Open customer record" r:id="rIdHyperlink4"/>
    <hyperlink ref="B5" tooltip="Send email" r:id="rIdHyperlink5"/>
    <hyperlink ref="B6" tooltip="Send email" r:id="rIdHyperlink6"/>
  </hyperlinks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state="frozen" activePane="bottomLeft"/>
      <selection pane="bottomLeft" activeCell="A2" sqref="A2"/>
    </sheetView>
  </sheetViews>
  <sheetFormatPr defaultRowHeight="30"/>
  <cols>
    <col min="1" max="1" width="15" customWidth="1"/>
    <col min="2" max="2" width="17" customWidth="1"/>
    <col min="3" max="3" width="29" customWidth="1"/>
    <col min="4" max="4" width="17" customWidth="1"/>
  </cols>
  <sheetData>
    <row r="1" ht="30" customHeight="1">
      <c r="A1" s="7" t="s">
        <v>102</v>
      </c>
      <c r="B1" s="7"/>
      <c r="C1" s="7"/>
      <c r="D1" s="7"/>
    </row>
    <row r="2" ht="30" customHeight="1">
      <c r="A2" s="8" t="s">
        <v>103</v>
      </c>
      <c r="B2" s="8" t="s">
        <v>25</v>
      </c>
      <c r="C2" s="8" t="s">
        <v>104</v>
      </c>
      <c r="D2" s="8" t="s">
        <v>28</v>
      </c>
    </row>
    <row r="3" ht="34.5" customHeight="1">
      <c r="A3" s="9"/>
      <c r="B3" s="9" t="s">
        <v>38</v>
      </c>
      <c r="C3" s="9" t="s">
        <v>105</v>
      </c>
      <c r="D3" s="12">
        <v>1450</v>
      </c>
    </row>
    <row r="4" ht="34.5" customHeight="1">
      <c r="A4" s="9"/>
      <c r="B4" s="9" t="s">
        <v>50</v>
      </c>
      <c r="C4" s="9" t="s">
        <v>51</v>
      </c>
      <c r="D4" s="12">
        <v>79</v>
      </c>
    </row>
    <row r="5" ht="34.5" customHeight="1">
      <c r="A5" s="9"/>
      <c r="B5" s="9" t="s">
        <v>69</v>
      </c>
      <c r="C5" s="9" t="s">
        <v>106</v>
      </c>
      <c r="D5" s="12">
        <v>520</v>
      </c>
    </row>
  </sheetData>
  <mergeCells count="1">
    <mergeCell ref="A1:D1"/>
  </mergeCells>
  <drawing r:id="rIdDrawing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state="frozen" activePane="bottomLeft"/>
      <selection pane="bottomLeft" activeCell="A2" sqref="A2"/>
    </sheetView>
  </sheetViews>
  <sheetFormatPr defaultRowHeight="30"/>
  <cols>
    <col min="1" max="1" width="17" customWidth="1"/>
    <col min="2" max="2" width="23" customWidth="1"/>
    <col min="3" max="3" width="23" customWidth="1"/>
    <col min="4" max="4" width="29" customWidth="1"/>
    <col min="5" max="5" width="13" customWidth="1"/>
    <col min="6" max="6" width="17" customWidth="1"/>
    <col min="7" max="7" width="27" customWidth="1"/>
  </cols>
  <sheetData>
    <row r="1" ht="30" customHeight="1">
      <c r="A1" s="7" t="s">
        <v>21</v>
      </c>
      <c r="B1" s="7" t="s">
        <v>22</v>
      </c>
      <c r="C1" s="7" t="s">
        <v>23</v>
      </c>
      <c r="D1" s="7" t="s">
        <v>24</v>
      </c>
      <c r="E1" s="7" t="s">
        <v>81</v>
      </c>
      <c r="F1" s="7" t="s">
        <v>29</v>
      </c>
      <c r="G1" s="7" t="s">
        <v>33</v>
      </c>
    </row>
    <row r="2" ht="30" customHeight="1">
      <c r="A2" s="9" t="s">
        <v>34</v>
      </c>
      <c r="B2" s="9" t="s">
        <v>35</v>
      </c>
      <c r="C2" s="9" t="s">
        <v>36</v>
      </c>
      <c r="D2" s="9" t="s">
        <v>37</v>
      </c>
      <c r="E2" s="11">
        <v>2</v>
      </c>
      <c r="F2" s="12">
        <v>12550</v>
      </c>
      <c r="G2" s="16">
        <v>45719.395833333336</v>
      </c>
    </row>
    <row r="3" ht="30" customHeight="1">
      <c r="A3" s="9" t="s">
        <v>46</v>
      </c>
      <c r="B3" s="9" t="s">
        <v>47</v>
      </c>
      <c r="C3" s="9" t="s">
        <v>48</v>
      </c>
      <c r="D3" s="9" t="s">
        <v>49</v>
      </c>
      <c r="E3" s="11">
        <v>3</v>
      </c>
      <c r="F3" s="12">
        <v>4996</v>
      </c>
      <c r="G3" s="16">
        <v>45723.395833333336</v>
      </c>
    </row>
    <row r="4" ht="30" customHeight="1">
      <c r="A4" s="9" t="s">
        <v>58</v>
      </c>
      <c r="B4" s="9" t="s">
        <v>59</v>
      </c>
      <c r="C4" s="9" t="s">
        <v>60</v>
      </c>
      <c r="D4" s="9" t="s">
        <v>61</v>
      </c>
      <c r="E4" s="11">
        <v>1</v>
      </c>
      <c r="F4" s="12">
        <v>195</v>
      </c>
      <c r="G4" s="16">
        <v>45728.395833333336</v>
      </c>
    </row>
    <row r="5" ht="30" customHeight="1">
      <c r="A5" s="9" t="s">
        <v>66</v>
      </c>
      <c r="B5" s="9" t="s">
        <v>67</v>
      </c>
      <c r="C5" s="9" t="s">
        <v>36</v>
      </c>
      <c r="D5" s="9" t="s">
        <v>68</v>
      </c>
      <c r="E5" s="11">
        <v>2</v>
      </c>
      <c r="F5" s="12">
        <v>11480</v>
      </c>
      <c r="G5" s="16">
        <v>45734.395833333336</v>
      </c>
    </row>
    <row r="6" ht="30" customHeight="1">
      <c r="A6" s="19" t="s">
        <v>83</v>
      </c>
      <c r="F6" s="20">
        <f>SUBTOTAL(109,[Line Total])</f>
        <v>29221</v>
      </c>
      <c r="G6" s="24">
        <f>SUBTOTAL(104,[Created])</f>
        <v>45734.395833333336</v>
      </c>
    </row>
  </sheetData>
  <tableParts count="1">
    <tablePart r:id="rIdTable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state="frozen" activePane="bottomLeft"/>
      <selection pane="bottomLeft" activeCell="A2" sqref="A2"/>
    </sheetView>
  </sheetViews>
  <sheetFormatPr defaultRowHeight="30"/>
  <cols>
    <col min="1" max="1" width="23" customWidth="1"/>
    <col min="2" max="2" width="17" customWidth="1"/>
    <col min="3" max="3" width="15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</cols>
  <sheetData>
    <row r="1" ht="30" customHeight="1">
      <c r="A1" s="7" t="s">
        <v>22</v>
      </c>
      <c r="B1" s="7" t="s">
        <v>80</v>
      </c>
      <c r="C1" s="7" t="s">
        <v>107</v>
      </c>
      <c r="D1" s="7" t="s">
        <v>108</v>
      </c>
      <c r="E1" s="7" t="s">
        <v>109</v>
      </c>
      <c r="F1" s="7" t="s">
        <v>110</v>
      </c>
      <c r="G1" s="7" t="s">
        <v>111</v>
      </c>
      <c r="H1" s="7" t="s">
        <v>112</v>
      </c>
    </row>
    <row r="2" ht="30" customHeight="1">
      <c r="A2" s="9" t="s">
        <v>35</v>
      </c>
      <c r="B2" s="12">
        <v>12550</v>
      </c>
      <c r="C2" s="9" t="s">
        <v>113</v>
      </c>
      <c r="D2" s="12">
        <f>IF((grouped_formula_orders[[#This Row],[Region]]="AMER"),grouped_formula_orders[[#This Row],[Amount]],0)</f>
        <v>0</v>
      </c>
      <c r="E2" s="12">
        <f>IF((grouped_formula_orders[[#This Row],[Region]]="APAC"),grouped_formula_orders[[#This Row],[Amount]],0)</f>
        <v>0</v>
      </c>
      <c r="F2" s="12">
        <f>IF((grouped_formula_orders[[#This Row],[Region]]="EMEA"),grouped_formula_orders[[#This Row],[Amount]],0)</f>
        <v>12550</v>
      </c>
      <c r="G2" s="12">
        <f>SUM(grouped_formula_orders[[#This Row],[AMER Amount]],grouped_formula_orders[[#This Row],[APAC Amount]],grouped_formula_orders[[#This Row],[EMEA Amount]])</f>
        <v>12550</v>
      </c>
      <c r="H2" s="12">
        <f>ROUND(AVERAGE(grouped_formula_orders[[#This Row],[AMER Amount]],grouped_formula_orders[[#This Row],[APAC Amount]],grouped_formula_orders[[#This Row],[EMEA Amount]]),2)</f>
        <v>4183.33</v>
      </c>
    </row>
    <row r="3" ht="30" customHeight="1">
      <c r="A3" s="9" t="s">
        <v>47</v>
      </c>
      <c r="B3" s="12">
        <v>4996</v>
      </c>
      <c r="C3" s="9" t="s">
        <v>114</v>
      </c>
      <c r="D3" s="12">
        <f>IF((grouped_formula_orders[[#This Row],[Region]]="AMER"),grouped_formula_orders[[#This Row],[Amount]],0)</f>
        <v>4996</v>
      </c>
      <c r="E3" s="12">
        <f>IF((grouped_formula_orders[[#This Row],[Region]]="APAC"),grouped_formula_orders[[#This Row],[Amount]],0)</f>
        <v>0</v>
      </c>
      <c r="F3" s="12">
        <f>IF((grouped_formula_orders[[#This Row],[Region]]="EMEA"),grouped_formula_orders[[#This Row],[Amount]],0)</f>
        <v>0</v>
      </c>
      <c r="G3" s="12">
        <f>SUM(grouped_formula_orders[[#This Row],[AMER Amount]],grouped_formula_orders[[#This Row],[APAC Amount]],grouped_formula_orders[[#This Row],[EMEA Amount]])</f>
        <v>4996</v>
      </c>
      <c r="H3" s="12">
        <f>ROUND(AVERAGE(grouped_formula_orders[[#This Row],[AMER Amount]],grouped_formula_orders[[#This Row],[APAC Amount]],grouped_formula_orders[[#This Row],[EMEA Amount]]),2)</f>
        <v>1665.33</v>
      </c>
    </row>
    <row r="4" ht="30" customHeight="1">
      <c r="A4" s="9" t="s">
        <v>59</v>
      </c>
      <c r="B4" s="12">
        <v>195</v>
      </c>
      <c r="C4" s="9" t="s">
        <v>115</v>
      </c>
      <c r="D4" s="12">
        <f>IF((grouped_formula_orders[[#This Row],[Region]]="AMER"),grouped_formula_orders[[#This Row],[Amount]],0)</f>
        <v>0</v>
      </c>
      <c r="E4" s="12">
        <f>IF((grouped_formula_orders[[#This Row],[Region]]="APAC"),grouped_formula_orders[[#This Row],[Amount]],0)</f>
        <v>195</v>
      </c>
      <c r="F4" s="12">
        <f>IF((grouped_formula_orders[[#This Row],[Region]]="EMEA"),grouped_formula_orders[[#This Row],[Amount]],0)</f>
        <v>0</v>
      </c>
      <c r="G4" s="12">
        <f>SUM(grouped_formula_orders[[#This Row],[AMER Amount]],grouped_formula_orders[[#This Row],[APAC Amount]],grouped_formula_orders[[#This Row],[EMEA Amount]])</f>
        <v>195</v>
      </c>
      <c r="H4" s="12">
        <f>ROUND(AVERAGE(grouped_formula_orders[[#This Row],[AMER Amount]],grouped_formula_orders[[#This Row],[APAC Amount]],grouped_formula_orders[[#This Row],[EMEA Amount]]),2)</f>
        <v>65</v>
      </c>
    </row>
    <row r="5" ht="30" customHeight="1">
      <c r="A5" s="9" t="s">
        <v>67</v>
      </c>
      <c r="B5" s="12">
        <v>11480</v>
      </c>
      <c r="C5" s="9" t="s">
        <v>113</v>
      </c>
      <c r="D5" s="12">
        <f>IF((grouped_formula_orders[[#This Row],[Region]]="AMER"),grouped_formula_orders[[#This Row],[Amount]],0)</f>
        <v>0</v>
      </c>
      <c r="E5" s="12">
        <f>IF((grouped_formula_orders[[#This Row],[Region]]="APAC"),grouped_formula_orders[[#This Row],[Amount]],0)</f>
        <v>0</v>
      </c>
      <c r="F5" s="12">
        <f>IF((grouped_formula_orders[[#This Row],[Region]]="EMEA"),grouped_formula_orders[[#This Row],[Amount]],0)</f>
        <v>11480</v>
      </c>
      <c r="G5" s="12">
        <f>SUM(grouped_formula_orders[[#This Row],[AMER Amount]],grouped_formula_orders[[#This Row],[APAC Amount]],grouped_formula_orders[[#This Row],[EMEA Amount]])</f>
        <v>11480</v>
      </c>
      <c r="H5" s="12">
        <f>ROUND(AVERAGE(grouped_formula_orders[[#This Row],[AMER Amount]],grouped_formula_orders[[#This Row],[APAC Amount]],grouped_formula_orders[[#This Row],[EMEA Amount]]),2)</f>
        <v>3826.67</v>
      </c>
    </row>
    <row r="6" ht="30" customHeight="1">
      <c r="A6" s="19" t="s">
        <v>116</v>
      </c>
      <c r="B6" s="20">
        <f>SUBTOTAL(101,[Amount])</f>
        <v>7305.25</v>
      </c>
      <c r="G6" s="20">
        <f>SUBTOTAL(109,[Regional Total])</f>
        <v>29221</v>
      </c>
      <c r="H6" s="20">
        <f>SUBTOTAL(101,[Regional Avg])</f>
        <v>2435.0825</v>
      </c>
    </row>
  </sheetData>
  <tableParts count="1">
    <tablePart r:id="rIdTable1"/>
  </tableParts>
</worksheet>
</file>