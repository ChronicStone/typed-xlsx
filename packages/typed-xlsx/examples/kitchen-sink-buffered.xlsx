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tchen Sink Grid" sheetId="1" r:id="rId1"/>
    <sheet name="RTL Review" sheetId="2" r:id="rId2"/>
    <sheet name="Filtered Review" sheetId="3" r:id="rId3"/>
    <sheet name="Formula Summaries" sheetId="4" r:id="rId4"/>
    <sheet name="Formula Columns" sheetId="5" r:id="rId5"/>
    <sheet name="Native Excel Table" sheetId="6" r:id="rId6"/>
  </sheets>
</workbook>
</file>

<file path=xl/sharedStrings.xml><?xml version="1.0" encoding="utf-8"?>
<sst xmlns="http://schemas.openxmlformats.org/spreadsheetml/2006/main" count="66" uniqueCount="66">
  <si>
    <t>Order</t>
  </si>
  <si>
    <t>Customer</t>
  </si>
  <si>
    <t>Account</t>
  </si>
  <si>
    <t>Email</t>
  </si>
  <si>
    <t>SKU</t>
  </si>
  <si>
    <t>Description</t>
  </si>
  <si>
    <t>Qty</t>
  </si>
  <si>
    <t>Unit Price</t>
  </si>
  <si>
    <t>Line Total</t>
  </si>
  <si>
    <t>Fulfilled</t>
  </si>
  <si>
    <t>Notes</t>
  </si>
  <si>
    <t>Tags</t>
  </si>
  <si>
    <t>Created</t>
  </si>
  <si>
    <t>ORD-1001</t>
  </si>
  <si>
    <t>Acme Manufacturing</t>
  </si>
  <si>
    <t>ENTERPRISE / EMEA</t>
  </si>
  <si>
    <t>ops@acme.example</t>
  </si>
  <si>
    <t>AX-100</t>
  </si>
  <si>
    <t>Assembly node
Rack-ready kit</t>
  </si>
  <si>
    <t>YES</t>
  </si>
  <si>
    <t>Priority shipment
Requires customs docs</t>
  </si>
  <si>
    <t>priority, hardware, renewal</t>
  </si>
  <si>
    <t>SUP-11</t>
  </si>
  <si>
    <t>Premium support extension</t>
  </si>
  <si>
    <t>PENDING</t>
  </si>
  <si>
    <t>ORD-1002</t>
  </si>
  <si>
    <t>Bluebird Health</t>
  </si>
  <si>
    <t>GROWTH / AMER</t>
  </si>
  <si>
    <t>finance@bluebird.example</t>
  </si>
  <si>
    <t>LIC-24</t>
  </si>
  <si>
    <t>Workspace license</t>
  </si>
  <si>
    <t>Bundle with migration hours</t>
  </si>
  <si>
    <t>services, migration</t>
  </si>
  <si>
    <t>MIG-08</t>
  </si>
  <si>
    <t>Migration workshop</t>
  </si>
  <si>
    <t>TRN-04</t>
  </si>
  <si>
    <t>Enablement training
Remote session</t>
  </si>
  <si>
    <t>ORD-1003</t>
  </si>
  <si>
    <t>Cinder Labs</t>
  </si>
  <si>
    <t>STARTER / APAC</t>
  </si>
  <si>
    <t>team@cinder.example</t>
  </si>
  <si>
    <t>LITE-05</t>
  </si>
  <si>
    <t>Starter seats</t>
  </si>
  <si>
    <t>Keep starter discount</t>
  </si>
  <si>
    <t>self-serve</t>
  </si>
  <si>
    <t>ORD-1004</t>
  </si>
  <si>
    <t>Delta Retail Group</t>
  </si>
  <si>
    <t>buyers@delta.example</t>
  </si>
  <si>
    <t>POS-14</t>
  </si>
  <si>
    <t>Retail POS devices</t>
  </si>
  <si>
    <t>Split invoice by subsidiary
Send PDF copy</t>
  </si>
  <si>
    <t>multi-entity, finance-review, renewal</t>
  </si>
  <si>
    <t>NET-02</t>
  </si>
  <si>
    <t>Network gateway</t>
  </si>
  <si>
    <t>Amount</t>
  </si>
  <si>
    <t>Items</t>
  </si>
  <si>
    <t>Fulfilled %</t>
  </si>
  <si>
    <t>TOTAL</t>
  </si>
  <si>
    <t>AVERAGE / LATEST</t>
  </si>
  <si>
    <t>Discount</t>
  </si>
  <si>
    <t>Activated</t>
  </si>
  <si>
    <t>Gross</t>
  </si>
  <si>
    <t>Net</t>
  </si>
  <si>
    <t>Utilization</t>
  </si>
  <si>
    <t>Segment</t>
  </si>
  <si>
    <t>Risk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</si>
</sst>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h:mm"/>
    <numFmt numFmtId="166" formatCode="0.0%"/>
    <numFmt numFmtId="167" formatCode="0%"/>
  </numFmts>
  <fonts count="8">
    <font>
      <sz val="11"/>
      <name val="Calibri"/>
    </font>
    <font>
      <b/>
      <color rgb="FF1F2937"/>
    </font>
    <font>
      <color rgb="FF166534"/>
    </font>
    <font>
      <b/>
      <color rgb="FF166534"/>
    </font>
    <font>
      <sz val="12"/>
    </font>
    <font>
      <color rgb="FFB42318"/>
    </font>
    <font>
      <b/>
      <color rgb="FFB42318"/>
    </font>
    <font>
      <b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CEBFF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 wrapText="1"/>
    </xf>
    <xf numFmtId="165" fontId="0" fillId="3" borderId="2" xfId="0" applyNumberForma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164" fontId="7" fillId="4" borderId="2" xfId="0" applyNumberFormat="1" applyFont="1" applyFill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166" fontId="7" fillId="4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vertical="center"/>
    </xf>
    <xf numFmtId="167" fontId="0" fillId="3" borderId="2" xfId="0" applyNumberForma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itchenSinkOrders" displayName="KitchenSinkOrders" ref="A1:G6" totalsRowCount="1" headerRowCount="1">
  <autoFilter ref="A1:G5"/>
  <tableColumns count="7">
    <tableColumn id="1" name="Order" totalsRowLabel="TOTAL"/>
    <tableColumn id="2" name="Customer"/>
    <tableColumn id="3" name="Account"/>
    <tableColumn id="4" name="Email"/>
    <tableColumn id="5" name="Items"/>
    <tableColumn id="6" name="Line Total" totalsRowFunction="sum"/>
    <tableColumn id="7" name="Created" totalsRowFunction="max"/>
  </tableColumns>
  <tableStyleInfo name="TableStyleMedium2" showFirstColumn="0" showLastColumn="0" showRowStripes="1" showColumnStripes="0"/>
</table>
</file>

<file path=xl/worksheets/_rels/sheet6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workbookViewId="0">
      <pane xSplit="4" ySplit="1" topLeftCell="E2" state="frozen" activePane="bottomRigh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7" customWidth="1"/>
    <col min="6" max="6" width="30" customWidth="1"/>
    <col min="7" max="7" width="13" customWidth="1"/>
    <col min="8" max="8" width="17" customWidth="1"/>
    <col min="9" max="9" width="17" customWidth="1"/>
    <col min="10" max="10" width="17" customWidth="1"/>
    <col min="11" max="11" width="32" customWidth="1"/>
    <col min="12" max="12" width="42" customWidth="1"/>
    <col min="13" max="13" width="27" customWidth="1"/>
    <col min="16" max="16" width="17" customWidth="1"/>
    <col min="17" max="17" width="23" customWidth="1"/>
    <col min="18" max="18" width="23" customWidth="1"/>
    <col min="19" max="19" width="17" customWidth="1"/>
    <col min="20" max="20" width="30" customWidth="1"/>
    <col min="21" max="21" width="13" customWidth="1"/>
    <col min="22" max="22" width="17" customWidth="1"/>
    <col min="23" max="23" width="32" customWidth="1"/>
    <col min="1" max="1" width="17" customWidth="1"/>
    <col min="2" max="2" width="23" customWidth="1"/>
    <col min="3" max="3" width="23" customWidth="1"/>
    <col min="4" max="4" width="17" customWidth="1"/>
    <col min="5" max="5" width="30" customWidth="1"/>
    <col min="6" max="6" width="13" customWidth="1"/>
    <col min="7" max="7" width="17" customWidth="1"/>
    <col min="8" max="8" width="17" customWidth="1"/>
    <col min="9" max="9" width="17" customWidth="1"/>
    <col min="10" max="10" width="32" customWidth="1"/>
    <col min="11" max="11" width="2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">
        <v>0</v>
      </c>
      <c r="Q1" s="1" t="s">
        <v>1</v>
      </c>
      <c r="R1" s="1" t="s">
        <v>2</v>
      </c>
      <c r="S1" s="1" t="s">
        <v>4</v>
      </c>
      <c r="T1" s="1" t="s">
        <v>5</v>
      </c>
      <c r="U1" s="1" t="s">
        <v>6</v>
      </c>
      <c r="V1" s="1" t="s">
        <v>8</v>
      </c>
      <c r="W1" s="1" t="s">
        <v>10</v>
      </c>
    </row>
    <row r="2" ht="6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4">
        <v>8</v>
      </c>
      <c r="H2" s="5">
        <v>1450</v>
      </c>
      <c r="I2" s="6">
        <v>11600</v>
      </c>
      <c r="J2" s="7" t="s">
        <v>19</v>
      </c>
      <c r="K2" s="8" t="s">
        <v>20</v>
      </c>
      <c r="L2" s="2" t="s">
        <v>21</v>
      </c>
      <c r="M2" s="9">
        <v>45719.395833333336</v>
      </c>
      <c r="P2" s="2" t="s">
        <v>13</v>
      </c>
      <c r="Q2" s="2" t="s">
        <v>14</v>
      </c>
      <c r="R2" s="2" t="s">
        <v>15</v>
      </c>
      <c r="S2" s="2" t="s">
        <v>17</v>
      </c>
      <c r="T2" s="3" t="s">
        <v>18</v>
      </c>
      <c r="U2" s="4">
        <v>8</v>
      </c>
      <c r="V2" s="6">
        <v>11600</v>
      </c>
      <c r="W2" s="8" t="s">
        <v>20</v>
      </c>
    </row>
    <row r="3" ht="30" customHeight="1">
      <c r="A3" s="2"/>
      <c r="B3" s="2"/>
      <c r="C3" s="2"/>
      <c r="D3" s="2"/>
      <c r="E3" s="2" t="s">
        <v>22</v>
      </c>
      <c r="F3" s="3" t="s">
        <v>23</v>
      </c>
      <c r="G3" s="4">
        <v>1</v>
      </c>
      <c r="H3" s="5">
        <v>950</v>
      </c>
      <c r="I3" s="10">
        <v>950</v>
      </c>
      <c r="J3" s="11" t="s">
        <v>24</v>
      </c>
      <c r="K3" s="8"/>
      <c r="L3" s="2"/>
      <c r="M3" s="9"/>
      <c r="P3" s="2"/>
      <c r="Q3" s="2"/>
      <c r="R3" s="2"/>
      <c r="S3" s="2" t="s">
        <v>22</v>
      </c>
      <c r="T3" s="3" t="s">
        <v>23</v>
      </c>
      <c r="U3" s="4">
        <v>1</v>
      </c>
      <c r="V3" s="10">
        <v>950</v>
      </c>
      <c r="W3" s="8"/>
    </row>
    <row r="4" ht="60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 t="s">
        <v>30</v>
      </c>
      <c r="G4" s="4">
        <v>24</v>
      </c>
      <c r="H4" s="5">
        <v>79</v>
      </c>
      <c r="I4" s="6">
        <v>1896</v>
      </c>
      <c r="J4" s="7" t="s">
        <v>19</v>
      </c>
      <c r="K4" s="8" t="s">
        <v>31</v>
      </c>
      <c r="L4" s="2" t="s">
        <v>32</v>
      </c>
      <c r="M4" s="9">
        <v>45723.395833333336</v>
      </c>
      <c r="P4" s="2" t="s">
        <v>45</v>
      </c>
      <c r="Q4" s="2" t="s">
        <v>46</v>
      </c>
      <c r="R4" s="2" t="s">
        <v>15</v>
      </c>
      <c r="S4" s="2" t="s">
        <v>48</v>
      </c>
      <c r="T4" s="3" t="s">
        <v>49</v>
      </c>
      <c r="U4" s="4">
        <v>14</v>
      </c>
      <c r="V4" s="6">
        <v>7280</v>
      </c>
      <c r="W4" s="8" t="s">
        <v>50</v>
      </c>
    </row>
    <row r="5" ht="30" customHeight="1">
      <c r="A5" s="2"/>
      <c r="B5" s="2"/>
      <c r="C5" s="2"/>
      <c r="D5" s="2"/>
      <c r="E5" s="2" t="s">
        <v>33</v>
      </c>
      <c r="F5" s="3" t="s">
        <v>34</v>
      </c>
      <c r="G5" s="4">
        <v>2</v>
      </c>
      <c r="H5" s="5">
        <v>1250</v>
      </c>
      <c r="I5" s="6">
        <v>2500</v>
      </c>
      <c r="J5" s="7" t="s">
        <v>19</v>
      </c>
      <c r="K5" s="8"/>
      <c r="L5" s="2"/>
      <c r="M5" s="9"/>
      <c r="P5" s="2"/>
      <c r="Q5" s="2"/>
      <c r="R5" s="2"/>
      <c r="S5" s="2" t="s">
        <v>52</v>
      </c>
      <c r="T5" s="3" t="s">
        <v>53</v>
      </c>
      <c r="U5" s="4">
        <v>2</v>
      </c>
      <c r="V5" s="6">
        <v>4200</v>
      </c>
      <c r="W5" s="8"/>
    </row>
    <row r="6" ht="30" customHeight="1">
      <c r="A6" s="2"/>
      <c r="B6" s="2"/>
      <c r="C6" s="2"/>
      <c r="D6" s="2"/>
      <c r="E6" s="2" t="s">
        <v>35</v>
      </c>
      <c r="F6" s="3" t="s">
        <v>36</v>
      </c>
      <c r="G6" s="4">
        <v>1</v>
      </c>
      <c r="H6" s="5">
        <v>600</v>
      </c>
      <c r="I6" s="10">
        <v>600</v>
      </c>
      <c r="J6" s="11" t="s">
        <v>24</v>
      </c>
      <c r="K6" s="8"/>
      <c r="L6" s="2"/>
      <c r="M6" s="9"/>
      <c r="P6" s="12">
        <v>2</v>
      </c>
      <c r="U6" s="12">
        <v>25</v>
      </c>
      <c r="V6" s="13">
        <v>24030</v>
      </c>
    </row>
    <row r="7" ht="30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42</v>
      </c>
      <c r="G7" s="4">
        <v>5</v>
      </c>
      <c r="H7" s="5">
        <v>39</v>
      </c>
      <c r="I7" s="6">
        <v>195</v>
      </c>
      <c r="J7" s="7" t="s">
        <v>19</v>
      </c>
      <c r="K7" s="8" t="s">
        <v>43</v>
      </c>
      <c r="L7" s="2" t="s">
        <v>44</v>
      </c>
      <c r="M7" s="9">
        <v>45728.395833333336</v>
      </c>
    </row>
    <row r="8" ht="60" customHeight="1">
      <c r="A8" s="2" t="s">
        <v>45</v>
      </c>
      <c r="B8" s="2" t="s">
        <v>46</v>
      </c>
      <c r="C8" s="2" t="s">
        <v>15</v>
      </c>
      <c r="D8" s="2" t="s">
        <v>47</v>
      </c>
      <c r="E8" s="2" t="s">
        <v>48</v>
      </c>
      <c r="F8" s="3" t="s">
        <v>49</v>
      </c>
      <c r="G8" s="4">
        <v>14</v>
      </c>
      <c r="H8" s="5">
        <v>520</v>
      </c>
      <c r="I8" s="6">
        <v>7280</v>
      </c>
      <c r="J8" s="7" t="s">
        <v>19</v>
      </c>
      <c r="K8" s="8" t="s">
        <v>50</v>
      </c>
      <c r="L8" s="2" t="s">
        <v>51</v>
      </c>
      <c r="M8" s="9">
        <v>45734.395833333336</v>
      </c>
    </row>
    <row r="9" ht="30" customHeight="1">
      <c r="A9" s="2"/>
      <c r="B9" s="2"/>
      <c r="C9" s="2"/>
      <c r="D9" s="2"/>
      <c r="E9" s="2" t="s">
        <v>52</v>
      </c>
      <c r="F9" s="3" t="s">
        <v>53</v>
      </c>
      <c r="G9" s="4">
        <v>2</v>
      </c>
      <c r="H9" s="5">
        <v>2100</v>
      </c>
      <c r="I9" s="6">
        <v>4200</v>
      </c>
      <c r="J9" s="7" t="s">
        <v>19</v>
      </c>
      <c r="K9" s="8"/>
      <c r="L9" s="2"/>
      <c r="M9" s="9"/>
    </row>
    <row r="10" ht="30" customHeight="1">
      <c r="A10" s="12">
        <v>4</v>
      </c>
      <c r="G10" s="12">
        <v>57</v>
      </c>
      <c r="I10" s="13">
        <v>29221</v>
      </c>
    </row>
    <row r="13" ht="30" customHeight="1">
      <c r="A13" s="1" t="s">
        <v>0</v>
      </c>
      <c r="B13" s="1" t="s">
        <v>1</v>
      </c>
      <c r="C13" s="1" t="s">
        <v>2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12</v>
      </c>
    </row>
    <row r="14" ht="60" customHeight="1">
      <c r="A14" s="2" t="s">
        <v>13</v>
      </c>
      <c r="B14" s="2" t="s">
        <v>14</v>
      </c>
      <c r="C14" s="2" t="s">
        <v>15</v>
      </c>
      <c r="D14" s="2" t="s">
        <v>17</v>
      </c>
      <c r="E14" s="3" t="s">
        <v>18</v>
      </c>
      <c r="F14" s="4">
        <v>8</v>
      </c>
      <c r="G14" s="5">
        <v>1450</v>
      </c>
      <c r="H14" s="6">
        <v>11600</v>
      </c>
      <c r="I14" s="7" t="s">
        <v>19</v>
      </c>
      <c r="J14" s="8" t="s">
        <v>20</v>
      </c>
      <c r="K14" s="9">
        <v>45719.395833333336</v>
      </c>
    </row>
    <row r="15" ht="30" customHeight="1">
      <c r="A15" s="2"/>
      <c r="B15" s="2"/>
      <c r="C15" s="2"/>
      <c r="D15" s="2" t="s">
        <v>22</v>
      </c>
      <c r="E15" s="3" t="s">
        <v>23</v>
      </c>
      <c r="F15" s="4">
        <v>1</v>
      </c>
      <c r="G15" s="5">
        <v>950</v>
      </c>
      <c r="H15" s="10">
        <v>950</v>
      </c>
      <c r="I15" s="11" t="s">
        <v>24</v>
      </c>
      <c r="J15" s="8"/>
      <c r="K15" s="9"/>
    </row>
    <row r="16" ht="30" customHeight="1">
      <c r="A16" s="2" t="s">
        <v>25</v>
      </c>
      <c r="B16" s="2" t="s">
        <v>26</v>
      </c>
      <c r="C16" s="2" t="s">
        <v>27</v>
      </c>
      <c r="D16" s="2" t="s">
        <v>29</v>
      </c>
      <c r="E16" s="3" t="s">
        <v>30</v>
      </c>
      <c r="F16" s="4">
        <v>24</v>
      </c>
      <c r="G16" s="5">
        <v>79</v>
      </c>
      <c r="H16" s="6">
        <v>1896</v>
      </c>
      <c r="I16" s="7" t="s">
        <v>19</v>
      </c>
      <c r="J16" s="8" t="s">
        <v>31</v>
      </c>
      <c r="K16" s="9">
        <v>45723.395833333336</v>
      </c>
    </row>
    <row r="17" ht="30" customHeight="1">
      <c r="A17" s="2"/>
      <c r="B17" s="2"/>
      <c r="C17" s="2"/>
      <c r="D17" s="2" t="s">
        <v>33</v>
      </c>
      <c r="E17" s="3" t="s">
        <v>34</v>
      </c>
      <c r="F17" s="4">
        <v>2</v>
      </c>
      <c r="G17" s="5">
        <v>1250</v>
      </c>
      <c r="H17" s="6">
        <v>2500</v>
      </c>
      <c r="I17" s="7" t="s">
        <v>19</v>
      </c>
      <c r="J17" s="8"/>
      <c r="K17" s="9"/>
    </row>
    <row r="18" ht="60" customHeight="1">
      <c r="A18" s="2"/>
      <c r="B18" s="2"/>
      <c r="C18" s="2"/>
      <c r="D18" s="2" t="s">
        <v>35</v>
      </c>
      <c r="E18" s="3" t="s">
        <v>36</v>
      </c>
      <c r="F18" s="4">
        <v>1</v>
      </c>
      <c r="G18" s="5">
        <v>600</v>
      </c>
      <c r="H18" s="10">
        <v>600</v>
      </c>
      <c r="I18" s="11" t="s">
        <v>24</v>
      </c>
      <c r="J18" s="8"/>
      <c r="K18" s="9"/>
    </row>
    <row r="19" ht="30" customHeight="1">
      <c r="A19" s="2" t="s">
        <v>37</v>
      </c>
      <c r="B19" s="2" t="s">
        <v>38</v>
      </c>
      <c r="C19" s="2" t="s">
        <v>39</v>
      </c>
      <c r="D19" s="2" t="s">
        <v>41</v>
      </c>
      <c r="E19" s="3" t="s">
        <v>42</v>
      </c>
      <c r="F19" s="4">
        <v>5</v>
      </c>
      <c r="G19" s="5">
        <v>39</v>
      </c>
      <c r="H19" s="6">
        <v>195</v>
      </c>
      <c r="I19" s="7" t="s">
        <v>19</v>
      </c>
      <c r="J19" s="8" t="s">
        <v>43</v>
      </c>
      <c r="K19" s="9">
        <v>45728.395833333336</v>
      </c>
    </row>
    <row r="20" ht="60" customHeight="1">
      <c r="A20" s="2" t="s">
        <v>45</v>
      </c>
      <c r="B20" s="2" t="s">
        <v>46</v>
      </c>
      <c r="C20" s="2" t="s">
        <v>15</v>
      </c>
      <c r="D20" s="2" t="s">
        <v>48</v>
      </c>
      <c r="E20" s="3" t="s">
        <v>49</v>
      </c>
      <c r="F20" s="4">
        <v>14</v>
      </c>
      <c r="G20" s="5">
        <v>520</v>
      </c>
      <c r="H20" s="6">
        <v>7280</v>
      </c>
      <c r="I20" s="7" t="s">
        <v>19</v>
      </c>
      <c r="J20" s="8" t="s">
        <v>50</v>
      </c>
      <c r="K20" s="9">
        <v>45734.395833333336</v>
      </c>
    </row>
    <row r="21" ht="30" customHeight="1">
      <c r="A21" s="2"/>
      <c r="B21" s="2"/>
      <c r="C21" s="2"/>
      <c r="D21" s="2" t="s">
        <v>52</v>
      </c>
      <c r="E21" s="3" t="s">
        <v>53</v>
      </c>
      <c r="F21" s="4">
        <v>2</v>
      </c>
      <c r="G21" s="5">
        <v>2100</v>
      </c>
      <c r="H21" s="6">
        <v>4200</v>
      </c>
      <c r="I21" s="7" t="s">
        <v>19</v>
      </c>
      <c r="J21" s="8"/>
      <c r="K21" s="9"/>
    </row>
    <row r="22" ht="30" customHeight="1">
      <c r="A22" s="12">
        <v>4</v>
      </c>
      <c r="F22" s="12">
        <v>57</v>
      </c>
      <c r="H22" s="13">
        <v>29221</v>
      </c>
    </row>
  </sheetData>
  <mergeCells count="44">
    <mergeCell ref="A2:A3"/>
    <mergeCell ref="B2:B3"/>
    <mergeCell ref="C2:C3"/>
    <mergeCell ref="D2:D3"/>
    <mergeCell ref="K2:K3"/>
    <mergeCell ref="L2:L3"/>
    <mergeCell ref="M2:M3"/>
    <mergeCell ref="A4:A6"/>
    <mergeCell ref="B4:B6"/>
    <mergeCell ref="C4:C6"/>
    <mergeCell ref="D4:D6"/>
    <mergeCell ref="K4:K6"/>
    <mergeCell ref="L4:L6"/>
    <mergeCell ref="M4:M6"/>
    <mergeCell ref="A8:A9"/>
    <mergeCell ref="B8:B9"/>
    <mergeCell ref="C8:C9"/>
    <mergeCell ref="D8:D9"/>
    <mergeCell ref="K8:K9"/>
    <mergeCell ref="L8:L9"/>
    <mergeCell ref="M8:M9"/>
    <mergeCell ref="P2:P3"/>
    <mergeCell ref="Q2:Q3"/>
    <mergeCell ref="R2:R3"/>
    <mergeCell ref="W2:W3"/>
    <mergeCell ref="P4:P5"/>
    <mergeCell ref="Q4:Q5"/>
    <mergeCell ref="R4:R5"/>
    <mergeCell ref="W4:W5"/>
    <mergeCell ref="A14:A15"/>
    <mergeCell ref="B14:B15"/>
    <mergeCell ref="C14:C15"/>
    <mergeCell ref="J14:J15"/>
    <mergeCell ref="K14:K15"/>
    <mergeCell ref="A16:A18"/>
    <mergeCell ref="B16:B18"/>
    <mergeCell ref="C16:C18"/>
    <mergeCell ref="J16:J18"/>
    <mergeCell ref="K16:K18"/>
    <mergeCell ref="A20:A21"/>
    <mergeCell ref="B20:B21"/>
    <mergeCell ref="C20:C21"/>
    <mergeCell ref="J20:J21"/>
    <mergeCell ref="K20:K2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1">
      <pane xSplit="2" ySplit="1" topLeftCell="C2" state="frozen" activePane="bottomRigh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7" customWidth="1"/>
    <col min="6" max="6" width="30" customWidth="1"/>
    <col min="7" max="7" width="13" customWidth="1"/>
    <col min="8" max="8" width="17" customWidth="1"/>
    <col min="9" max="9" width="17" customWidth="1"/>
    <col min="10" max="10" width="17" customWidth="1"/>
    <col min="11" max="11" width="32" customWidth="1"/>
    <col min="12" max="12" width="32" customWidth="1"/>
    <col min="13" max="13" width="2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4">
        <v>8</v>
      </c>
      <c r="H2" s="5">
        <v>1450</v>
      </c>
      <c r="I2" s="6">
        <v>11600</v>
      </c>
      <c r="J2" s="7" t="s">
        <v>19</v>
      </c>
      <c r="K2" s="8" t="s">
        <v>20</v>
      </c>
      <c r="L2" s="2" t="s">
        <v>21</v>
      </c>
      <c r="M2" s="9">
        <v>45719.395833333336</v>
      </c>
    </row>
    <row r="3" ht="30" customHeight="1">
      <c r="A3" s="2"/>
      <c r="B3" s="2"/>
      <c r="C3" s="2"/>
      <c r="D3" s="2"/>
      <c r="E3" s="2" t="s">
        <v>22</v>
      </c>
      <c r="F3" s="3" t="s">
        <v>23</v>
      </c>
      <c r="G3" s="4">
        <v>1</v>
      </c>
      <c r="H3" s="5">
        <v>950</v>
      </c>
      <c r="I3" s="10">
        <v>950</v>
      </c>
      <c r="J3" s="11" t="s">
        <v>24</v>
      </c>
      <c r="K3" s="8"/>
      <c r="L3" s="2"/>
      <c r="M3" s="9"/>
    </row>
    <row r="4" ht="30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 t="s">
        <v>30</v>
      </c>
      <c r="G4" s="4">
        <v>24</v>
      </c>
      <c r="H4" s="5">
        <v>79</v>
      </c>
      <c r="I4" s="6">
        <v>1896</v>
      </c>
      <c r="J4" s="7" t="s">
        <v>19</v>
      </c>
      <c r="K4" s="8" t="s">
        <v>31</v>
      </c>
      <c r="L4" s="2" t="s">
        <v>32</v>
      </c>
      <c r="M4" s="9">
        <v>45723.395833333336</v>
      </c>
    </row>
    <row r="5" ht="30" customHeight="1">
      <c r="A5" s="2"/>
      <c r="B5" s="2"/>
      <c r="C5" s="2"/>
      <c r="D5" s="2"/>
      <c r="E5" s="2" t="s">
        <v>33</v>
      </c>
      <c r="F5" s="3" t="s">
        <v>34</v>
      </c>
      <c r="G5" s="4">
        <v>2</v>
      </c>
      <c r="H5" s="5">
        <v>1250</v>
      </c>
      <c r="I5" s="6">
        <v>2500</v>
      </c>
      <c r="J5" s="7" t="s">
        <v>19</v>
      </c>
      <c r="K5" s="8"/>
      <c r="L5" s="2"/>
      <c r="M5" s="9"/>
    </row>
    <row r="6" ht="60" customHeight="1">
      <c r="A6" s="2"/>
      <c r="B6" s="2"/>
      <c r="C6" s="2"/>
      <c r="D6" s="2"/>
      <c r="E6" s="2" t="s">
        <v>35</v>
      </c>
      <c r="F6" s="3" t="s">
        <v>36</v>
      </c>
      <c r="G6" s="4">
        <v>1</v>
      </c>
      <c r="H6" s="5">
        <v>600</v>
      </c>
      <c r="I6" s="10">
        <v>600</v>
      </c>
      <c r="J6" s="11" t="s">
        <v>24</v>
      </c>
      <c r="K6" s="8"/>
      <c r="L6" s="2"/>
      <c r="M6" s="9"/>
    </row>
    <row r="7" ht="30" customHeight="1">
      <c r="A7" s="12">
        <v>2</v>
      </c>
      <c r="G7" s="12">
        <v>36</v>
      </c>
      <c r="I7" s="13">
        <v>17546</v>
      </c>
    </row>
  </sheetData>
  <mergeCells count="14">
    <mergeCell ref="A2:A3"/>
    <mergeCell ref="B2:B3"/>
    <mergeCell ref="C2:C3"/>
    <mergeCell ref="D2:D3"/>
    <mergeCell ref="K2:K3"/>
    <mergeCell ref="L2:L3"/>
    <mergeCell ref="M2:M3"/>
    <mergeCell ref="A4:A6"/>
    <mergeCell ref="B4:B6"/>
    <mergeCell ref="C4:C6"/>
    <mergeCell ref="D4:D6"/>
    <mergeCell ref="K4:K6"/>
    <mergeCell ref="L4:L6"/>
    <mergeCell ref="M4:M6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state="frozen" activePane="bottomLef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32" customWidth="1"/>
    <col min="6" max="6" width="42" customWidth="1"/>
    <col min="7" max="7" width="2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</row>
    <row r="2" ht="60" customHeight="1">
      <c r="A2" s="2" t="s">
        <v>13</v>
      </c>
      <c r="B2" s="2" t="s">
        <v>14</v>
      </c>
      <c r="C2" s="2" t="s">
        <v>15</v>
      </c>
      <c r="D2" s="2" t="s">
        <v>16</v>
      </c>
      <c r="E2" s="8" t="s">
        <v>20</v>
      </c>
      <c r="F2" s="2" t="s">
        <v>21</v>
      </c>
      <c r="G2" s="9">
        <v>45719.395833333336</v>
      </c>
    </row>
    <row r="3" ht="30" customHeight="1">
      <c r="A3" s="2" t="s">
        <v>25</v>
      </c>
      <c r="B3" s="2" t="s">
        <v>26</v>
      </c>
      <c r="C3" s="2" t="s">
        <v>27</v>
      </c>
      <c r="D3" s="2" t="s">
        <v>28</v>
      </c>
      <c r="E3" s="8" t="s">
        <v>31</v>
      </c>
      <c r="F3" s="2" t="s">
        <v>32</v>
      </c>
      <c r="G3" s="9">
        <v>45723.395833333336</v>
      </c>
    </row>
    <row r="4" ht="30" customHeight="1">
      <c r="A4" s="2" t="s">
        <v>37</v>
      </c>
      <c r="B4" s="2" t="s">
        <v>38</v>
      </c>
      <c r="C4" s="2" t="s">
        <v>39</v>
      </c>
      <c r="D4" s="2" t="s">
        <v>40</v>
      </c>
      <c r="E4" s="8" t="s">
        <v>43</v>
      </c>
      <c r="F4" s="2" t="s">
        <v>44</v>
      </c>
      <c r="G4" s="9">
        <v>45728.395833333336</v>
      </c>
    </row>
    <row r="5" ht="60" customHeight="1">
      <c r="A5" s="2" t="s">
        <v>45</v>
      </c>
      <c r="B5" s="2" t="s">
        <v>46</v>
      </c>
      <c r="C5" s="2" t="s">
        <v>15</v>
      </c>
      <c r="D5" s="2" t="s">
        <v>47</v>
      </c>
      <c r="E5" s="8" t="s">
        <v>50</v>
      </c>
      <c r="F5" s="2" t="s">
        <v>51</v>
      </c>
      <c r="G5" s="9">
        <v>45734.395833333336</v>
      </c>
    </row>
    <row r="6" ht="30" customHeight="1">
      <c r="A6" s="12">
        <v>4</v>
      </c>
    </row>
  </sheetData>
  <autoFilter ref="A1:G6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17" customWidth="1"/>
    <col min="3" max="3" width="14" customWidth="1"/>
    <col min="4" max="4" width="17" customWidth="1"/>
    <col min="5" max="5" width="27" customWidth="1"/>
  </cols>
  <sheetData>
    <row r="1" ht="30" customHeight="1">
      <c r="A1" s="1" t="s">
        <v>1</v>
      </c>
      <c r="B1" s="1" t="s">
        <v>54</v>
      </c>
      <c r="C1" s="1" t="s">
        <v>55</v>
      </c>
      <c r="D1" s="1" t="s">
        <v>56</v>
      </c>
      <c r="E1" s="1" t="s">
        <v>12</v>
      </c>
    </row>
    <row r="2" ht="30" customHeight="1">
      <c r="A2" s="2" t="s">
        <v>14</v>
      </c>
      <c r="B2" s="5">
        <v>12550</v>
      </c>
      <c r="C2" s="4">
        <v>2</v>
      </c>
      <c r="D2" s="14">
        <v>0.5</v>
      </c>
      <c r="E2" s="9">
        <v>45719.395833333336</v>
      </c>
    </row>
    <row r="3" ht="30" customHeight="1">
      <c r="A3" s="2" t="s">
        <v>26</v>
      </c>
      <c r="B3" s="5">
        <v>4996</v>
      </c>
      <c r="C3" s="4">
        <v>3</v>
      </c>
      <c r="D3" s="14">
        <v>0.6666666666666666</v>
      </c>
      <c r="E3" s="9">
        <v>45723.395833333336</v>
      </c>
    </row>
    <row r="4" ht="30" customHeight="1">
      <c r="A4" s="2" t="s">
        <v>38</v>
      </c>
      <c r="B4" s="5">
        <v>195</v>
      </c>
      <c r="C4" s="4">
        <v>1</v>
      </c>
      <c r="D4" s="14">
        <v>1</v>
      </c>
      <c r="E4" s="9">
        <v>45728.395833333336</v>
      </c>
    </row>
    <row r="5" ht="30" customHeight="1">
      <c r="A5" s="2" t="s">
        <v>46</v>
      </c>
      <c r="B5" s="5">
        <v>11480</v>
      </c>
      <c r="C5" s="4">
        <v>2</v>
      </c>
      <c r="D5" s="14">
        <v>1</v>
      </c>
      <c r="E5" s="9">
        <v>45734.395833333336</v>
      </c>
    </row>
    <row r="6" ht="30" customHeight="1">
      <c r="A6" s="12" t="s">
        <v>57</v>
      </c>
      <c r="B6" s="13">
        <f>ROUND(SUM(B2:B5),2)</f>
      </c>
      <c r="C6" s="15">
        <f>SUM(C2:C5)</f>
      </c>
      <c r="D6" s="16">
        <f>ROUND(AVERAGE(D2:D5),4)</f>
      </c>
      <c r="E6" s="12"/>
    </row>
    <row r="7" ht="30" customHeight="1">
      <c r="A7" s="12" t="s">
        <v>58</v>
      </c>
      <c r="B7" s="13">
        <f>ROUND(AVERAGE(B2:B5),2)</f>
      </c>
      <c r="C7" s="15">
        <f>AVERAGE(C2:C5)</f>
      </c>
      <c r="D7" s="16">
        <f>MAX(MAX(D2:D5),0)</f>
      </c>
      <c r="E7" s="17">
        <f>MAX(MAX(E2:E5),0)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13" customWidth="1"/>
    <col min="3" max="3" width="17" customWidth="1"/>
    <col min="4" max="4" width="15" customWidth="1"/>
    <col min="5" max="5" width="15" customWidth="1"/>
    <col min="6" max="6" width="17" customWidth="1"/>
    <col min="7" max="7" width="17" customWidth="1"/>
    <col min="8" max="8" width="17" customWidth="1"/>
    <col min="9" max="9" width="17" customWidth="1"/>
    <col min="10" max="10" width="15" customWidth="1"/>
  </cols>
  <sheetData>
    <row r="1" ht="30" customHeight="1">
      <c r="A1" s="1" t="s">
        <v>1</v>
      </c>
      <c r="B1" s="1" t="s">
        <v>6</v>
      </c>
      <c r="C1" s="1" t="s">
        <v>7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ht="30" customHeight="1">
      <c r="A2" s="2" t="s">
        <v>14</v>
      </c>
      <c r="B2" s="4">
        <v>9</v>
      </c>
      <c r="C2" s="5">
        <v>1200</v>
      </c>
      <c r="D2" s="18">
        <v>0.18</v>
      </c>
      <c r="E2" s="4">
        <v>8</v>
      </c>
      <c r="F2" s="5">
        <f>ROUND((B2*C2),2)</f>
      </c>
      <c r="G2" s="5">
        <f>ROUND((F2*(1-D2)),2)</f>
      </c>
      <c r="H2" s="14">
        <f>IF((B2&gt;0),ROUND((E2/B2),4),0)</f>
      </c>
      <c r="I2" s="2">
        <f>IF(OR((G2&gt;=5000),(H2&gt;=0.85)),"HIGH",IF((D2&gt;=0.15),"WATCH","STANDARD"))</f>
      </c>
      <c r="J2" s="2">
        <f>IF(OR((I2="WATCH"),(H2&lt;0.5)),"REVIEW","OK")</f>
      </c>
    </row>
    <row r="3" ht="30" customHeight="1">
      <c r="A3" s="2" t="s">
        <v>26</v>
      </c>
      <c r="B3" s="4">
        <v>27</v>
      </c>
      <c r="C3" s="5">
        <v>643</v>
      </c>
      <c r="D3" s="18">
        <v>0.1</v>
      </c>
      <c r="E3" s="4">
        <v>26</v>
      </c>
      <c r="F3" s="5">
        <f>ROUND((B3*C3),2)</f>
      </c>
      <c r="G3" s="5">
        <f>ROUND((F3*(1-D3)),2)</f>
      </c>
      <c r="H3" s="14">
        <f>IF((B3&gt;0),ROUND((E3/B3),4),0)</f>
      </c>
      <c r="I3" s="2">
        <f>IF(OR((G3&gt;=5000),(H3&gt;=0.85)),"HIGH",IF((D3&gt;=0.15),"WATCH","STANDARD"))</f>
      </c>
      <c r="J3" s="2">
        <f>IF(OR((I3="WATCH"),(H3&lt;0.5)),"REVIEW","OK")</f>
      </c>
    </row>
    <row r="4" ht="30" customHeight="1">
      <c r="A4" s="2" t="s">
        <v>38</v>
      </c>
      <c r="B4" s="4">
        <v>5</v>
      </c>
      <c r="C4" s="5">
        <v>39</v>
      </c>
      <c r="D4" s="18">
        <v>0.03</v>
      </c>
      <c r="E4" s="4">
        <v>5</v>
      </c>
      <c r="F4" s="5">
        <f>ROUND((B4*C4),2)</f>
      </c>
      <c r="G4" s="5">
        <f>ROUND((F4*(1-D4)),2)</f>
      </c>
      <c r="H4" s="14">
        <f>IF((B4&gt;0),ROUND((E4/B4),4),0)</f>
      </c>
      <c r="I4" s="2">
        <f>IF(OR((G4&gt;=5000),(H4&gt;=0.85)),"HIGH",IF((D4&gt;=0.15),"WATCH","STANDARD"))</f>
      </c>
      <c r="J4" s="2">
        <f>IF(OR((I4="WATCH"),(H4&lt;0.5)),"REVIEW","OK")</f>
      </c>
    </row>
    <row r="5" ht="30" customHeight="1">
      <c r="A5" s="2" t="s">
        <v>46</v>
      </c>
      <c r="B5" s="4">
        <v>16</v>
      </c>
      <c r="C5" s="5">
        <v>1310</v>
      </c>
      <c r="D5" s="18">
        <v>0.18</v>
      </c>
      <c r="E5" s="4">
        <v>16</v>
      </c>
      <c r="F5" s="5">
        <f>ROUND((B5*C5),2)</f>
      </c>
      <c r="G5" s="5">
        <f>ROUND((F5*(1-D5)),2)</f>
      </c>
      <c r="H5" s="14">
        <f>IF((B5&gt;0),ROUND((E5/B5),4),0)</f>
      </c>
      <c r="I5" s="2">
        <f>IF(OR((G5&gt;=5000),(H5&gt;=0.85)),"HIGH",IF((D5&gt;=0.15),"WATCH","STANDARD"))</f>
      </c>
      <c r="J5" s="2">
        <f>IF(OR((I5="WATCH"),(H5&lt;0.5)),"REVIEW","OK")</f>
      </c>
    </row>
    <row r="6" ht="30" customHeight="1">
      <c r="F6" s="13">
        <f>ROUND(SUM(F2:F5),2)</f>
      </c>
      <c r="G6" s="13">
        <f>ROUND(SUM(G2:G5),2)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state="frozen" activePane="bottomLef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3" customWidth="1"/>
    <col min="6" max="6" width="17" customWidth="1"/>
    <col min="7" max="7" width="27" customWidth="1"/>
  </cols>
  <sheetData>
    <row r="1" ht="30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55</v>
      </c>
      <c r="F1" s="19" t="s">
        <v>8</v>
      </c>
      <c r="G1" s="19" t="s">
        <v>12</v>
      </c>
    </row>
    <row r="2" ht="30" customHeight="1">
      <c r="A2" s="2" t="s">
        <v>13</v>
      </c>
      <c r="B2" s="2" t="s">
        <v>14</v>
      </c>
      <c r="C2" s="2" t="s">
        <v>15</v>
      </c>
      <c r="D2" s="2" t="s">
        <v>16</v>
      </c>
      <c r="E2" s="4">
        <v>2</v>
      </c>
      <c r="F2" s="5">
        <v>12550</v>
      </c>
      <c r="G2" s="9">
        <v>45719.395833333336</v>
      </c>
    </row>
    <row r="3" ht="30" customHeight="1">
      <c r="A3" s="2" t="s">
        <v>25</v>
      </c>
      <c r="B3" s="2" t="s">
        <v>26</v>
      </c>
      <c r="C3" s="2" t="s">
        <v>27</v>
      </c>
      <c r="D3" s="2" t="s">
        <v>28</v>
      </c>
      <c r="E3" s="4">
        <v>3</v>
      </c>
      <c r="F3" s="5">
        <v>4996</v>
      </c>
      <c r="G3" s="9">
        <v>45723.395833333336</v>
      </c>
    </row>
    <row r="4" ht="30" customHeight="1">
      <c r="A4" s="2" t="s">
        <v>37</v>
      </c>
      <c r="B4" s="2" t="s">
        <v>38</v>
      </c>
      <c r="C4" s="2" t="s">
        <v>39</v>
      </c>
      <c r="D4" s="2" t="s">
        <v>40</v>
      </c>
      <c r="E4" s="4">
        <v>1</v>
      </c>
      <c r="F4" s="5">
        <v>195</v>
      </c>
      <c r="G4" s="9">
        <v>45728.395833333336</v>
      </c>
    </row>
    <row r="5" ht="30" customHeight="1">
      <c r="A5" s="2" t="s">
        <v>45</v>
      </c>
      <c r="B5" s="2" t="s">
        <v>46</v>
      </c>
      <c r="C5" s="2" t="s">
        <v>15</v>
      </c>
      <c r="D5" s="2" t="s">
        <v>47</v>
      </c>
      <c r="E5" s="4">
        <v>2</v>
      </c>
      <c r="F5" s="5">
        <v>11480</v>
      </c>
      <c r="G5" s="9">
        <v>45734.395833333336</v>
      </c>
    </row>
    <row r="6" ht="30" customHeight="1">
      <c r="A6" s="12" t="s">
        <v>57</v>
      </c>
      <c r="F6" s="13">
        <f>SUBTOTAL(109,[Line Total])</f>
      </c>
      <c r="G6" s="17">
        <f>SUBTOTAL(104,[Created])</f>
      </c>
    </row>
  </sheetData>
  <tableParts count="1">
    <tablePart r:id="rIdTable1"/>
  </tableParts>
</worksheet>
</file>