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</sheets>
</workbook>
</file>

<file path=xl/sharedStrings.xml><?xml version="1.0" encoding="utf-8"?>
<sst xmlns="http://schemas.openxmlformats.org/spreadsheetml/2006/main" count="66" uniqueCount="66">
  <si>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</si>
  <si>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</si>
  <si>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</si>
  <si>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</si>
  <si>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</si>
  <si>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</si>
  <si>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</si>
  <si>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</si>
  <si>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</si>
  <si>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</si>
  <si>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</si>
  <si>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</si>
  <si>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</si>
  <si>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</si>
  <si>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</si>
  <si>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</si>
  <si>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</si>
  <si>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</si>
  <si>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</si>
  <si>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</si>
  <si>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</si>
  <si>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</si>
  <si>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</si>
  <si>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</si>
  <si>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</si>
  <si>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</si>
  <si>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</si>
  <si>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</si>
  <si>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</si>
  <si>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</si>
  <si>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</si>
  <si>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</si>
  <si>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</si>
  <si>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</si>
  <si>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</si>
  <si>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</si>
  <si>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</si>
  <si>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</si>
  <si>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</si>
  <si>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</si>
  <si>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</si>
  <si>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</si>
  <si>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</si>
  <si>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</si>
  <si>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</si>
  <si>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</si>
  <si>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</si>
  <si>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</si>
  <si>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</si>
  <si>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</si>
  <si>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</si>
  <si>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</si>
  <si>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</si>
  <si>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</si>
  <si>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</si>
  <si>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Items</t>
  </si>
  <si>
    <t>Fulfilled %</t>
  </si>
  <si>
    <t>TOTAL</t>
  </si>
  <si>
    <t>AVERAGE / LATEST</t>
  </si>
  <si>
    <t>Discount</t>
  </si>
  <si>
    <t>Activated</t>
  </si>
  <si>
    <t>Gross</t>
  </si>
  <si>
    <t>Net</t>
  </si>
  <si>
    <t>Utilization</t>
  </si>
  <si>
    <t>Segment</t>
  </si>
  <si>
    <t>Risk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</si>
</sst>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8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  <xf numFmtId="166" fontId="0" fillId="3" borderId="2" xfId="0" applyNumberFormat="1" applyFill="1" applyBorder="1" applyAlignment="1">
      <alignment horizontal="right" vertical="center"/>
    </xf>
    <xf numFmtId="0" fontId="7" fillId="4" borderId="2" xfId="0" applyFont="1" applyFill="1" applyBorder="1" applyAlignment="1">
      <alignment horizontal="right" vertical="center"/>
    </xf>
    <xf numFmtId="166" fontId="7" fillId="4" borderId="2" xfId="0" applyNumberFormat="1" applyFont="1" applyFill="1" applyBorder="1" applyAlignment="1">
      <alignment horizontal="right" vertical="center"/>
    </xf>
    <xf numFmtId="165" fontId="7" fillId="4" borderId="2" xfId="0" applyNumberFormat="1" applyFont="1" applyFill="1" applyBorder="1" applyAlignment="1">
      <alignment vertical="center"/>
    </xf>
    <xf numFmtId="167" fontId="0" fillId="3" borderId="2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s="1" t="s">
        <v>1</v>
      </c>
      <c r="B1" s="1" t="s">
        <v>54</v>
      </c>
      <c r="C1" s="1" t="s">
        <v>55</v>
      </c>
      <c r="D1" s="1" t="s">
        <v>56</v>
      </c>
      <c r="E1" s="1" t="s">
        <v>12</v>
      </c>
    </row>
    <row r="2" ht="30" customHeight="1">
      <c r="A2" s="2" t="s">
        <v>14</v>
      </c>
      <c r="B2" s="5">
        <v>12550</v>
      </c>
      <c r="C2" s="4">
        <v>2</v>
      </c>
      <c r="D2" s="14">
        <v>0.5</v>
      </c>
      <c r="E2" s="9">
        <v>45719.395833333336</v>
      </c>
    </row>
    <row r="3" ht="30" customHeight="1">
      <c r="A3" s="2" t="s">
        <v>26</v>
      </c>
      <c r="B3" s="5">
        <v>4996</v>
      </c>
      <c r="C3" s="4">
        <v>3</v>
      </c>
      <c r="D3" s="14">
        <v>0.6666666666666666</v>
      </c>
      <c r="E3" s="9">
        <v>45723.395833333336</v>
      </c>
    </row>
    <row r="4" ht="30" customHeight="1">
      <c r="A4" s="2" t="s">
        <v>38</v>
      </c>
      <c r="B4" s="5">
        <v>195</v>
      </c>
      <c r="C4" s="4">
        <v>1</v>
      </c>
      <c r="D4" s="14">
        <v>1</v>
      </c>
      <c r="E4" s="9">
        <v>45728.395833333336</v>
      </c>
    </row>
    <row r="5" ht="30" customHeight="1">
      <c r="A5" s="2" t="s">
        <v>46</v>
      </c>
      <c r="B5" s="5">
        <v>11480</v>
      </c>
      <c r="C5" s="4">
        <v>2</v>
      </c>
      <c r="D5" s="14">
        <v>1</v>
      </c>
      <c r="E5" s="9">
        <v>45734.395833333336</v>
      </c>
    </row>
    <row r="6" ht="30" customHeight="1">
      <c r="A6" s="12" t="s">
        <v>57</v>
      </c>
      <c r="B6" s="13">
        <f>ROUND(SUM(B2:B5),2)</f>
      </c>
      <c r="C6" s="15">
        <f>SUM(C2:C5)</f>
      </c>
      <c r="D6" s="16">
        <f>ROUND(AVERAGE(D2:D5),4)</f>
      </c>
      <c r="E6" s="12"/>
    </row>
    <row r="7" ht="30" customHeight="1">
      <c r="A7" s="12" t="s">
        <v>58</v>
      </c>
      <c r="B7" s="13">
        <f>ROUND(AVERAGE(B2:B5),2)</f>
      </c>
      <c r="C7" s="15">
        <f>AVERAGE(C2:C5)</f>
      </c>
      <c r="D7" s="16">
        <f>MAX(MAX(D2:D5),0)</f>
      </c>
      <c r="E7" s="17">
        <f>MAX(MAX(E2:E5),0)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</v>
      </c>
      <c r="B1" s="1" t="s">
        <v>6</v>
      </c>
      <c r="C1" s="1" t="s">
        <v>7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</row>
    <row r="2" ht="30" customHeight="1">
      <c r="A2" s="2" t="s">
        <v>14</v>
      </c>
      <c r="B2" s="4">
        <v>9</v>
      </c>
      <c r="C2" s="5">
        <v>1200</v>
      </c>
      <c r="D2" s="18">
        <v>0.18</v>
      </c>
      <c r="E2" s="4">
        <v>8</v>
      </c>
      <c r="F2" s="5">
        <f>ROUND((B2*C2),2)</f>
      </c>
      <c r="G2" s="5">
        <f>ROUND((F2*(1-D2)),2)</f>
      </c>
      <c r="H2" s="14">
        <f>IF((B2&gt;0),ROUND((E2/B2),4),0)</f>
      </c>
      <c r="I2" s="2">
        <f>IF(OR((G2&gt;=5000),(H2&gt;=0.85)),"HIGH",IF((D2&gt;=0.15),"WATCH","STANDARD"))</f>
      </c>
      <c r="J2" s="2">
        <f>IF(OR((I2="WATCH"),(H2&lt;0.5)),"REVIEW","OK")</f>
      </c>
    </row>
    <row r="3" ht="30" customHeight="1">
      <c r="A3" s="2" t="s">
        <v>26</v>
      </c>
      <c r="B3" s="4">
        <v>27</v>
      </c>
      <c r="C3" s="5">
        <v>643</v>
      </c>
      <c r="D3" s="18">
        <v>0.1</v>
      </c>
      <c r="E3" s="4">
        <v>26</v>
      </c>
      <c r="F3" s="5">
        <f>ROUND((B3*C3),2)</f>
      </c>
      <c r="G3" s="5">
        <f>ROUND((F3*(1-D3)),2)</f>
      </c>
      <c r="H3" s="14">
        <f>IF((B3&gt;0),ROUND((E3/B3),4),0)</f>
      </c>
      <c r="I3" s="2">
        <f>IF(OR((G3&gt;=5000),(H3&gt;=0.85)),"HIGH",IF((D3&gt;=0.15),"WATCH","STANDARD"))</f>
      </c>
      <c r="J3" s="2">
        <f>IF(OR((I3="WATCH"),(H3&lt;0.5)),"REVIEW","OK")</f>
      </c>
    </row>
    <row r="4" ht="30" customHeight="1">
      <c r="A4" s="2" t="s">
        <v>38</v>
      </c>
      <c r="B4" s="4">
        <v>5</v>
      </c>
      <c r="C4" s="5">
        <v>39</v>
      </c>
      <c r="D4" s="18">
        <v>0.03</v>
      </c>
      <c r="E4" s="4">
        <v>5</v>
      </c>
      <c r="F4" s="5">
        <f>ROUND((B4*C4),2)</f>
      </c>
      <c r="G4" s="5">
        <f>ROUND((F4*(1-D4)),2)</f>
      </c>
      <c r="H4" s="14">
        <f>IF((B4&gt;0),ROUND((E4/B4),4),0)</f>
      </c>
      <c r="I4" s="2">
        <f>IF(OR((G4&gt;=5000),(H4&gt;=0.85)),"HIGH",IF((D4&gt;=0.15),"WATCH","STANDARD"))</f>
      </c>
      <c r="J4" s="2">
        <f>IF(OR((I4="WATCH"),(H4&lt;0.5)),"REVIEW","OK")</f>
      </c>
    </row>
    <row r="5" ht="30" customHeight="1">
      <c r="A5" s="2" t="s">
        <v>46</v>
      </c>
      <c r="B5" s="4">
        <v>16</v>
      </c>
      <c r="C5" s="5">
        <v>1310</v>
      </c>
      <c r="D5" s="18">
        <v>0.18</v>
      </c>
      <c r="E5" s="4">
        <v>16</v>
      </c>
      <c r="F5" s="5">
        <f>ROUND((B5*C5),2)</f>
      </c>
      <c r="G5" s="5">
        <f>ROUND((F5*(1-D5)),2)</f>
      </c>
      <c r="H5" s="14">
        <f>IF((B5&gt;0),ROUND((E5/B5),4),0)</f>
      </c>
      <c r="I5" s="2">
        <f>IF(OR((G5&gt;=5000),(H5&gt;=0.85)),"HIGH",IF((D5&gt;=0.15),"WATCH","STANDARD"))</f>
      </c>
      <c r="J5" s="2">
        <f>IF(OR((I5="WATCH"),(H5&lt;0.5)),"REVIEW","OK")</f>
      </c>
    </row>
    <row r="6" ht="30" customHeight="1">
      <c r="F6" s="13">
        <f>ROUND(SUM(F2:F5),2)</f>
      </c>
      <c r="G6" s="13">
        <f>ROUND(SUM(G2:G5),2)</f>
      </c>
    </row>
  </sheetData>
</worksheet>
</file>