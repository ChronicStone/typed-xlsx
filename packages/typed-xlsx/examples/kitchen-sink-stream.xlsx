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Password="B522"/>
  <sheets>
    <sheet name="Kitchen Sink Grid" sheetId="1" r:id="rId1"/>
    <sheet name="RTL Review" sheetId="2" r:id="rId2"/>
    <sheet name="Filtered Review" sheetId="3" r:id="rId3"/>
    <sheet name="Formula Summaries" sheetId="4" r:id="rId4"/>
    <sheet name="Formula Columns" sheetId="5" r:id="rId5"/>
    <sheet name="Validation" sheetId="6" r:id="rId6"/>
    <sheet name="Protected Input" sheetId="7" r:id="rId7"/>
    <sheet name="Hyperlinks" sheetId="8" r:id="rId8"/>
    <sheet name="Native Excel Table" sheetId="9" r:id="rId9"/>
  </sheets>
</workbook>
</file>

<file path=xl/sharedStrings.xml><?xml version="1.0" encoding="utf-8"?>
<sst xmlns="http://schemas.openxmlformats.org/spreadsheetml/2006/main" count="72" uniqueCount="72">
  <si>
    <t>ORD-1001-001</t>
  </si>
  <si>
    <t>Acme Manufacturing</t>
  </si>
  <si>
    <t>ENTERPRISE / EMEA</t>
  </si>
  <si>
    <t>ops@acme.example</t>
  </si>
  <si>
    <t>AX-100</t>
  </si>
  <si>
    <t>Assembly node
Rack-ready kit</t>
  </si>
  <si>
    <t>YES</t>
  </si>
  <si>
    <t>Priority shipment
Requires customs docs</t>
  </si>
  <si>
    <t>priority, hardware, renewal</t>
  </si>
  <si>
    <t>SUP-11</t>
  </si>
  <si>
    <t>Premium support extension</t>
  </si>
  <si>
    <t>PENDING</t>
  </si>
  <si>
    <t>ORD-1002-002</t>
  </si>
  <si>
    <t>Bluebird Health</t>
  </si>
  <si>
    <t>GROWTH / AMER</t>
  </si>
  <si>
    <t>finance@bluebird.example</t>
  </si>
  <si>
    <t>LIC-24</t>
  </si>
  <si>
    <t>Workspace license</t>
  </si>
  <si>
    <t>Bundle with migration hours</t>
  </si>
  <si>
    <t>services, migration</t>
  </si>
  <si>
    <t>MIG-08</t>
  </si>
  <si>
    <t>Migration workshop</t>
  </si>
  <si>
    <t>TRN-04</t>
  </si>
  <si>
    <t>Enablement training
Remote session</t>
  </si>
  <si>
    <t>ORD-1003-003</t>
  </si>
  <si>
    <t>Cinder Labs</t>
  </si>
  <si>
    <t>STARTER / APAC</t>
  </si>
  <si>
    <t>team@cinder.example</t>
  </si>
  <si>
    <t>LITE-05</t>
  </si>
  <si>
    <t>Starter seats</t>
  </si>
  <si>
    <t>Keep starter discount</t>
  </si>
  <si>
    <t>self-serve</t>
  </si>
  <si>
    <t>ORD-1004-004</t>
  </si>
  <si>
    <t>Delta Retail Group</t>
  </si>
  <si>
    <t>buyers@delta.example</t>
  </si>
  <si>
    <t>POS-14</t>
  </si>
  <si>
    <t>Retail POS devices</t>
  </si>
  <si>
    <t>Split invoice by subsidiary
Send PDF copy</t>
  </si>
  <si>
    <t>multi-entity, finance-review, renewal</t>
  </si>
  <si>
    <t>NET-02</t>
  </si>
  <si>
    <t>Network gateway</t>
  </si>
  <si>
    <t>ORD-1001-005</t>
  </si>
  <si>
    <t>ORD-1002-006</t>
  </si>
  <si>
    <t>ORD-1003-007</t>
  </si>
  <si>
    <t>ORD-1004-008</t>
  </si>
  <si>
    <t>ORD-1001-009</t>
  </si>
  <si>
    <t>ORD-1002-010</t>
  </si>
  <si>
    <t>ORD-1003-011</t>
  </si>
  <si>
    <t>ORD-1004-012</t>
  </si>
  <si>
    <t>ORD-1001-013</t>
  </si>
  <si>
    <t>ORD-1002-014</t>
  </si>
  <si>
    <t>ORD-1003-015</t>
  </si>
  <si>
    <t>ORD-1004-016</t>
  </si>
  <si>
    <t>ORD-1001-017</t>
  </si>
  <si>
    <t>ORD-1002-018</t>
  </si>
  <si>
    <t>ORD-1003-019</t>
  </si>
  <si>
    <t>ORD-1004-020</t>
  </si>
  <si>
    <t>ORD-1001-021</t>
  </si>
  <si>
    <t>ORD-1002-022</t>
  </si>
  <si>
    <t>ORD-1003-023</t>
  </si>
  <si>
    <t>ORD-1004-024</t>
  </si>
  <si>
    <t>ORD-1001-025</t>
  </si>
  <si>
    <t>ORD-1002-026</t>
  </si>
  <si>
    <t>ORD-1003-027</t>
  </si>
  <si>
    <t>ORD-1004-028</t>
  </si>
  <si>
    <t>ORD-1001-029</t>
  </si>
  <si>
    <t>ORD-1002-030</t>
  </si>
  <si>
    <t>ORD-1003-031</t>
  </si>
  <si>
    <t>ORD-1004-032</t>
  </si>
  <si>
    <t>active</t>
  </si>
  <si>
    <t>draft</t>
  </si>
  <si>
    <t>archived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</si>
</sst>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h:mm"/>
    <numFmt numFmtId="166" formatCode="0.0%"/>
    <numFmt numFmtId="167" formatCode="0%"/>
    <numFmt numFmtId="168" formatCode="yyyy-mm-dd"/>
  </numFmts>
  <fonts count="11">
    <font>
      <sz val="11"/>
      <name val="Calibri"/>
    </font>
    <font>
      <color rgb="FF166534"/>
    </font>
    <font>
      <b/>
      <color rgb="FF166534"/>
    </font>
    <font>
      <sz val="12"/>
    </font>
    <font>
      <color rgb="FFB42318"/>
    </font>
    <font>
      <b/>
      <color rgb="FFB42318"/>
    </font>
    <font>
      <b/>
      <color rgb="FF7C3AED"/>
    </font>
    <font>
      <u/>
      <color rgb="FF0563C1"/>
    </font>
    <font>
      <b/>
    </font>
    <font>
      <b/>
      <sz val="12"/>
    </font>
    <font>
      <b/>
      <color rgb="FF1F2937"/>
    </font>
  </fonts>
  <fills count="5">
    <fill>
      <patternFill patternType="none"/>
    </fill>
    <fill>
      <patternFill patternType="solid">
        <fgColor rgb="FFCCCCCC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  <fill>
      <patternFill patternType="solid">
        <fgColor rgb="FFDCEB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165" fontId="0" fillId="2" borderId="1" xfId="0" applyNumberForma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 vertical="center"/>
    </xf>
    <xf numFmtId="167" fontId="0" fillId="2" borderId="1" xfId="0" applyNumberFormat="1" applyFill="1" applyBorder="1" applyAlignment="1">
      <alignment horizontal="right" vertical="center"/>
    </xf>
    <xf numFmtId="168" fontId="0" fillId="2" borderId="1" xfId="0" applyNumberFormat="1" applyFill="1" applyBorder="1" applyAlignment="1">
      <alignment vertical="center"/>
    </xf>
    <xf numFmtId="0" fontId="0" fillId="2" borderId="1" xfId="0" applyFill="1" applyBorder="1" applyAlignment="1" applyProtection="1">
      <alignment vertical="center"/>
      <protection/>
    </xf>
    <xf numFmtId="164" fontId="0" fillId="2" borderId="1" xfId="0" applyNumberFormat="1" applyFill="1" applyBorder="1" applyAlignment="1" applyProtection="1">
      <alignment horizontal="right" vertical="center"/>
      <protection locked="0"/>
    </xf>
    <xf numFmtId="164" fontId="0" fillId="2" borderId="1" xfId="0" applyNumberFormat="1" applyFill="1" applyBorder="1" applyAlignment="1" applyProtection="1">
      <alignment horizontal="right" vertical="center"/>
      <protection hidden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vertical="top" wrapText="1"/>
    </xf>
    <xf numFmtId="165" fontId="8" fillId="3" borderId="1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right" vertical="center"/>
    </xf>
    <xf numFmtId="167" fontId="8" fillId="3" borderId="1" xfId="0" applyNumberFormat="1" applyFont="1" applyFill="1" applyBorder="1" applyAlignment="1">
      <alignment horizontal="right" vertical="center"/>
    </xf>
    <xf numFmtId="168" fontId="8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 applyProtection="1">
      <alignment vertical="center"/>
      <protection/>
    </xf>
    <xf numFmtId="164" fontId="8" fillId="3" borderId="1" xfId="0" applyNumberFormat="1" applyFont="1" applyFill="1" applyBorder="1" applyAlignment="1" applyProtection="1">
      <alignment horizontal="right" vertical="center"/>
      <protection locked="0"/>
    </xf>
    <xf numFmtId="164" fontId="8" fillId="3" borderId="1" xfId="0" applyNumberFormat="1" applyFont="1" applyFill="1" applyBorder="1" applyAlignment="1" applyProtection="1">
      <alignment horizontal="right" vertical="center"/>
      <protection hidden="1"/>
    </xf>
    <xf numFmtId="0" fontId="8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KitchenSinkOrders" displayName="KitchenSinkOrders" ref="A1:G34" totalsRowCount="1" headerRowCount="1">
  <autoFilter ref="A1:G33"/>
  <tableColumns count="7">
    <tableColumn id="1" name="Order" totalsRowLabel="TOTAL"/>
    <tableColumn id="2" name="Customer"/>
    <tableColumn id="3" name="Account"/>
    <tableColumn id="4" name="Email"/>
    <tableColumn id="5" name="Items"/>
    <tableColumn id="6" name="Line Total" totalsRowFunction="sum"/>
    <tableColumn id="7" name="Created" totalsRowFunction="max"/>
  </tableColumns>
  <tableStyleInfo name="TableStyleMedium2" showFirstColumn="0" showLastColumn="0" showRowStripes="1" showColumnStripes="0"/>
</table>
</file>

<file path=xl/worksheets/_rels/sheet8.xml.rels><?xml version="1.0" encoding="UTF-8" standalone="yes"?><Relationships xmlns="http://schemas.openxmlformats.org/package/2006/relationships"><Relationship Id="rIdHyperlink1" Type="http://schemas.openxmlformats.org/officeDocument/2006/relationships/hyperlink" Target="https://example.com/customers/ops" TargetMode="External"/><Relationship Id="rIdHyperlink2" Type="http://schemas.openxmlformats.org/officeDocument/2006/relationships/hyperlink" Target="mailto:ops@acme.example" TargetMode="External"/><Relationship Id="rIdHyperlink3" Type="http://schemas.openxmlformats.org/officeDocument/2006/relationships/hyperlink" Target="mailto:finance@bluebird.example" TargetMode="External"/><Relationship Id="rIdHyperlink4" Type="http://schemas.openxmlformats.org/officeDocument/2006/relationships/hyperlink" Target="https://example.com/customers/team" TargetMode="External"/><Relationship Id="rIdHyperlink5" Type="http://schemas.openxmlformats.org/officeDocument/2006/relationships/hyperlink" Target="mailto:team@cinder.example" TargetMode="External"/><Relationship Id="rIdHyperlink6" Type="http://schemas.openxmlformats.org/officeDocument/2006/relationships/hyperlink" Target="mailto:buyers@delta.example" TargetMode="External"/><Relationship Id="rIdHyperlink7" Type="http://schemas.openxmlformats.org/officeDocument/2006/relationships/hyperlink" Target="https://example.com/customers/ops" TargetMode="External"/><Relationship Id="rIdHyperlink8" Type="http://schemas.openxmlformats.org/officeDocument/2006/relationships/hyperlink" Target="mailto:ops@acme.example" TargetMode="External"/><Relationship Id="rIdHyperlink9" Type="http://schemas.openxmlformats.org/officeDocument/2006/relationships/hyperlink" Target="mailto:finance@bluebird.example" TargetMode="External"/><Relationship Id="rIdHyperlink10" Type="http://schemas.openxmlformats.org/officeDocument/2006/relationships/hyperlink" Target="https://example.com/customers/team" TargetMode="External"/><Relationship Id="rIdHyperlink11" Type="http://schemas.openxmlformats.org/officeDocument/2006/relationships/hyperlink" Target="mailto:team@cinder.example" TargetMode="External"/><Relationship Id="rIdHyperlink12" Type="http://schemas.openxmlformats.org/officeDocument/2006/relationships/hyperlink" Target="mailto:buyers@delta.example" TargetMode="External"/><Relationship Id="rIdHyperlink13" Type="http://schemas.openxmlformats.org/officeDocument/2006/relationships/hyperlink" Target="https://example.com/customers/ops" TargetMode="External"/><Relationship Id="rIdHyperlink14" Type="http://schemas.openxmlformats.org/officeDocument/2006/relationships/hyperlink" Target="mailto:ops@acme.example" TargetMode="External"/><Relationship Id="rIdHyperlink15" Type="http://schemas.openxmlformats.org/officeDocument/2006/relationships/hyperlink" Target="mailto:finance@bluebird.example" TargetMode="External"/><Relationship Id="rIdHyperlink16" Type="http://schemas.openxmlformats.org/officeDocument/2006/relationships/hyperlink" Target="https://example.com/customers/team" TargetMode="External"/><Relationship Id="rIdHyperlink17" Type="http://schemas.openxmlformats.org/officeDocument/2006/relationships/hyperlink" Target="mailto:team@cinder.example" TargetMode="External"/><Relationship Id="rIdHyperlink18" Type="http://schemas.openxmlformats.org/officeDocument/2006/relationships/hyperlink" Target="mailto:buyers@delta.example" TargetMode="External"/><Relationship Id="rIdHyperlink19" Type="http://schemas.openxmlformats.org/officeDocument/2006/relationships/hyperlink" Target="https://example.com/customers/ops" TargetMode="External"/><Relationship Id="rIdHyperlink20" Type="http://schemas.openxmlformats.org/officeDocument/2006/relationships/hyperlink" Target="mailto:ops@acme.example" TargetMode="External"/><Relationship Id="rIdHyperlink21" Type="http://schemas.openxmlformats.org/officeDocument/2006/relationships/hyperlink" Target="mailto:finance@bluebird.example" TargetMode="External"/><Relationship Id="rIdHyperlink22" Type="http://schemas.openxmlformats.org/officeDocument/2006/relationships/hyperlink" Target="https://example.com/customers/team" TargetMode="External"/><Relationship Id="rIdHyperlink23" Type="http://schemas.openxmlformats.org/officeDocument/2006/relationships/hyperlink" Target="mailto:team@cinder.example" TargetMode="External"/><Relationship Id="rIdHyperlink24" Type="http://schemas.openxmlformats.org/officeDocument/2006/relationships/hyperlink" Target="mailto:buyers@delta.example" TargetMode="External"/><Relationship Id="rIdHyperlink25" Type="http://schemas.openxmlformats.org/officeDocument/2006/relationships/hyperlink" Target="https://example.com/customers/ops" TargetMode="External"/><Relationship Id="rIdHyperlink26" Type="http://schemas.openxmlformats.org/officeDocument/2006/relationships/hyperlink" Target="mailto:ops@acme.example" TargetMode="External"/><Relationship Id="rIdHyperlink27" Type="http://schemas.openxmlformats.org/officeDocument/2006/relationships/hyperlink" Target="mailto:finance@bluebird.example" TargetMode="External"/><Relationship Id="rIdHyperlink28" Type="http://schemas.openxmlformats.org/officeDocument/2006/relationships/hyperlink" Target="https://example.com/customers/team" TargetMode="External"/><Relationship Id="rIdHyperlink29" Type="http://schemas.openxmlformats.org/officeDocument/2006/relationships/hyperlink" Target="mailto:team@cinder.example" TargetMode="External"/><Relationship Id="rIdHyperlink30" Type="http://schemas.openxmlformats.org/officeDocument/2006/relationships/hyperlink" Target="mailto:buyers@delta.example" TargetMode="External"/><Relationship Id="rIdHyperlink31" Type="http://schemas.openxmlformats.org/officeDocument/2006/relationships/hyperlink" Target="https://example.com/customers/ops" TargetMode="External"/><Relationship Id="rIdHyperlink32" Type="http://schemas.openxmlformats.org/officeDocument/2006/relationships/hyperlink" Target="mailto:ops@acme.example" TargetMode="External"/><Relationship Id="rIdHyperlink33" Type="http://schemas.openxmlformats.org/officeDocument/2006/relationships/hyperlink" Target="mailto:finance@bluebird.example" TargetMode="External"/><Relationship Id="rIdHyperlink34" Type="http://schemas.openxmlformats.org/officeDocument/2006/relationships/hyperlink" Target="https://example.com/customers/team" TargetMode="External"/><Relationship Id="rIdHyperlink35" Type="http://schemas.openxmlformats.org/officeDocument/2006/relationships/hyperlink" Target="mailto:team@cinder.example" TargetMode="External"/><Relationship Id="rIdHyperlink36" Type="http://schemas.openxmlformats.org/officeDocument/2006/relationships/hyperlink" Target="mailto:buyers@delta.example" TargetMode="External"/><Relationship Id="rIdHyperlink37" Type="http://schemas.openxmlformats.org/officeDocument/2006/relationships/hyperlink" Target="https://example.com/customers/ops" TargetMode="External"/><Relationship Id="rIdHyperlink38" Type="http://schemas.openxmlformats.org/officeDocument/2006/relationships/hyperlink" Target="mailto:ops@acme.example" TargetMode="External"/><Relationship Id="rIdHyperlink39" Type="http://schemas.openxmlformats.org/officeDocument/2006/relationships/hyperlink" Target="mailto:finance@bluebird.example" TargetMode="External"/><Relationship Id="rIdHyperlink40" Type="http://schemas.openxmlformats.org/officeDocument/2006/relationships/hyperlink" Target="https://example.com/customers/team" TargetMode="External"/><Relationship Id="rIdHyperlink41" Type="http://schemas.openxmlformats.org/officeDocument/2006/relationships/hyperlink" Target="mailto:team@cinder.example" TargetMode="External"/><Relationship Id="rIdHyperlink42" Type="http://schemas.openxmlformats.org/officeDocument/2006/relationships/hyperlink" Target="mailto:buyers@delta.example" TargetMode="External"/><Relationship Id="rIdHyperlink43" Type="http://schemas.openxmlformats.org/officeDocument/2006/relationships/hyperlink" Target="https://example.com/customers/ops" TargetMode="External"/><Relationship Id="rIdHyperlink44" Type="http://schemas.openxmlformats.org/officeDocument/2006/relationships/hyperlink" Target="mailto:ops@acme.example" TargetMode="External"/><Relationship Id="rIdHyperlink45" Type="http://schemas.openxmlformats.org/officeDocument/2006/relationships/hyperlink" Target="mailto:finance@bluebird.example" TargetMode="External"/><Relationship Id="rIdHyperlink46" Type="http://schemas.openxmlformats.org/officeDocument/2006/relationships/hyperlink" Target="https://example.com/customers/team" TargetMode="External"/><Relationship Id="rIdHyperlink47" Type="http://schemas.openxmlformats.org/officeDocument/2006/relationships/hyperlink" Target="mailto:team@cinder.example" TargetMode="External"/><Relationship Id="rIdHyperlink48" Type="http://schemas.openxmlformats.org/officeDocument/2006/relationships/hyperlink" Target="mailto:buyers@delta.example" TargetMode="External"/></Relationships>
</file>

<file path=xl/worksheets/_rels/sheet9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workbookViewId="0">
      <pane xSplit="4" ySplit="1" topLeftCell="E2" state="frozen" activePane="bottomRigh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17" customWidth="1"/>
    <col min="5" max="5" width="30" customWidth="1"/>
    <col min="6" max="6" width="13" customWidth="1"/>
    <col min="7" max="7" width="17" customWidth="1"/>
    <col min="8" max="8" width="17" customWidth="1"/>
    <col min="9" max="9" width="17" customWidth="1"/>
    <col min="10" max="10" width="32" customWidth="1"/>
    <col min="11" max="11" width="27" customWidth="1"/>
    <col min="12" max="12" width="42" customWidth="1"/>
    <col min="13" max="13" width="27" customWidth="1"/>
    <col min="16" max="16" width="17" customWidth="1"/>
    <col min="17" max="17" width="23" customWidth="1"/>
    <col min="18" max="18" width="23" customWidth="1"/>
    <col min="19" max="19" width="17" customWidth="1"/>
    <col min="20" max="20" width="30" customWidth="1"/>
    <col min="21" max="21" width="13" customWidth="1"/>
    <col min="22" max="22" width="17" customWidth="1"/>
    <col min="23" max="23" width="32" customWidth="1"/>
  </cols>
  <sheetData>
    <row r="1" ht="30" customHeight="1">
      <c r="A1" t="inlineStr" s="25">
        <is>
          <t>Order</t>
        </is>
      </c>
      <c r="B1" t="inlineStr" s="25">
        <is>
          <t>Customer</t>
        </is>
      </c>
      <c r="C1" t="inlineStr" s="25">
        <is>
          <t>Account</t>
        </is>
      </c>
      <c r="D1" t="inlineStr" s="25">
        <is>
          <t>Email</t>
        </is>
      </c>
      <c r="E1" t="inlineStr" s="25">
        <is>
          <t>SKU</t>
        </is>
      </c>
      <c r="F1" t="inlineStr" s="25">
        <is>
          <t>Description</t>
        </is>
      </c>
      <c r="G1" t="inlineStr" s="25">
        <is>
          <t>Qty</t>
        </is>
      </c>
      <c r="H1" t="inlineStr" s="25">
        <is>
          <t>Unit Price</t>
        </is>
      </c>
      <c r="I1" t="inlineStr" s="25">
        <is>
          <t>Line Total</t>
        </is>
      </c>
      <c r="J1" t="inlineStr" s="25">
        <is>
          <t>Fulfilled</t>
        </is>
      </c>
      <c r="K1" t="inlineStr" s="25">
        <is>
          <t>Notes</t>
        </is>
      </c>
      <c r="L1" t="inlineStr" s="25">
        <is>
          <t>Tags</t>
        </is>
      </c>
      <c r="M1" t="inlineStr" s="25">
        <is>
          <t>Created</t>
        </is>
      </c>
      <c r="P1" t="inlineStr" s="25">
        <is>
          <t>Order</t>
        </is>
      </c>
      <c r="Q1" t="inlineStr" s="25">
        <is>
          <t>Customer</t>
        </is>
      </c>
      <c r="R1" t="inlineStr" s="25">
        <is>
          <t>Account</t>
        </is>
      </c>
      <c r="S1" t="inlineStr" s="25">
        <is>
          <t>SKU</t>
        </is>
      </c>
      <c r="T1" t="inlineStr" s="25">
        <is>
          <t>Description</t>
        </is>
      </c>
      <c r="U1" t="inlineStr" s="25">
        <is>
          <t>Qty</t>
        </is>
      </c>
      <c r="V1" t="inlineStr" s="25">
        <is>
          <t>Line Total</t>
        </is>
      </c>
      <c r="W1" t="inlineStr" s="25">
        <is>
          <t>Notes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>
        <v>8</v>
      </c>
      <c r="H2" s="4">
        <v>1450</v>
      </c>
      <c r="I2" s="5">
        <v>11600</v>
      </c>
      <c r="J2" s="6" t="s">
        <v>6</v>
      </c>
      <c r="K2" s="7" t="s">
        <v>7</v>
      </c>
      <c r="L2" s="1" t="s">
        <v>8</v>
      </c>
      <c r="M2" s="8">
        <v>45719.395833333336</v>
      </c>
      <c r="P2" s="1" t="s">
        <v>0</v>
      </c>
      <c r="Q2" s="1" t="s">
        <v>1</v>
      </c>
      <c r="R2" s="1" t="s">
        <v>2</v>
      </c>
      <c r="S2" s="1" t="s">
        <v>4</v>
      </c>
      <c r="T2" s="2" t="s">
        <v>5</v>
      </c>
      <c r="U2" s="3">
        <v>8</v>
      </c>
      <c r="V2" s="5">
        <v>11600</v>
      </c>
      <c r="W2" s="7" t="s">
        <v>7</v>
      </c>
    </row>
    <row r="3" ht="30" customHeight="1">
      <c r="A3" s="1"/>
      <c r="B3" s="1"/>
      <c r="C3" s="1"/>
      <c r="D3" s="1"/>
      <c r="E3" s="1" t="s">
        <v>9</v>
      </c>
      <c r="F3" s="2" t="s">
        <v>10</v>
      </c>
      <c r="G3" s="3">
        <v>1</v>
      </c>
      <c r="H3" s="4">
        <v>950</v>
      </c>
      <c r="I3" s="9">
        <v>950</v>
      </c>
      <c r="J3" s="10" t="s">
        <v>11</v>
      </c>
      <c r="K3" s="7"/>
      <c r="L3" s="1"/>
      <c r="M3" s="8"/>
      <c r="P3" s="1"/>
      <c r="Q3" s="1"/>
      <c r="R3" s="1"/>
      <c r="S3" s="1" t="s">
        <v>9</v>
      </c>
      <c r="T3" s="2" t="s">
        <v>10</v>
      </c>
      <c r="U3" s="3">
        <v>1</v>
      </c>
      <c r="V3" s="9">
        <v>950</v>
      </c>
      <c r="W3" s="7"/>
    </row>
    <row r="4" ht="30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  <c r="G4" s="3">
        <v>24</v>
      </c>
      <c r="H4" s="4">
        <v>79</v>
      </c>
      <c r="I4" s="5">
        <v>1896</v>
      </c>
      <c r="J4" s="6" t="s">
        <v>6</v>
      </c>
      <c r="K4" s="7" t="s">
        <v>18</v>
      </c>
      <c r="L4" s="1" t="s">
        <v>19</v>
      </c>
      <c r="M4" s="8">
        <v>45723.395833333336</v>
      </c>
      <c r="P4" s="1" t="s">
        <v>32</v>
      </c>
      <c r="Q4" s="1" t="s">
        <v>33</v>
      </c>
      <c r="R4" s="1" t="s">
        <v>2</v>
      </c>
      <c r="S4" s="1" t="s">
        <v>35</v>
      </c>
      <c r="T4" s="2" t="s">
        <v>36</v>
      </c>
      <c r="U4" s="3">
        <v>14</v>
      </c>
      <c r="V4" s="5">
        <v>7280</v>
      </c>
      <c r="W4" s="7" t="s">
        <v>37</v>
      </c>
    </row>
    <row r="5" ht="30" customHeight="1">
      <c r="A5" s="1"/>
      <c r="B5" s="1"/>
      <c r="C5" s="1"/>
      <c r="D5" s="1"/>
      <c r="E5" s="1" t="s">
        <v>20</v>
      </c>
      <c r="F5" s="2" t="s">
        <v>21</v>
      </c>
      <c r="G5" s="3">
        <v>2</v>
      </c>
      <c r="H5" s="4">
        <v>1250</v>
      </c>
      <c r="I5" s="5">
        <v>2500</v>
      </c>
      <c r="J5" s="6" t="s">
        <v>6</v>
      </c>
      <c r="K5" s="7"/>
      <c r="L5" s="1"/>
      <c r="M5" s="8"/>
      <c r="P5" s="1"/>
      <c r="Q5" s="1"/>
      <c r="R5" s="1"/>
      <c r="S5" s="1" t="s">
        <v>39</v>
      </c>
      <c r="T5" s="2" t="s">
        <v>40</v>
      </c>
      <c r="U5" s="3">
        <v>2</v>
      </c>
      <c r="V5" s="5">
        <v>4200</v>
      </c>
      <c r="W5" s="7"/>
    </row>
    <row r="6" ht="30" customHeight="1">
      <c r="A6" s="1"/>
      <c r="B6" s="1"/>
      <c r="C6" s="1"/>
      <c r="D6" s="1"/>
      <c r="E6" s="1" t="s">
        <v>22</v>
      </c>
      <c r="F6" s="2" t="s">
        <v>23</v>
      </c>
      <c r="G6" s="3">
        <v>1</v>
      </c>
      <c r="H6" s="4">
        <v>600</v>
      </c>
      <c r="I6" s="9">
        <v>600</v>
      </c>
      <c r="J6" s="10" t="s">
        <v>11</v>
      </c>
      <c r="K6" s="7"/>
      <c r="L6" s="1"/>
      <c r="M6" s="8"/>
      <c r="P6" s="1" t="s">
        <v>41</v>
      </c>
      <c r="Q6" s="1" t="s">
        <v>1</v>
      </c>
      <c r="R6" s="1" t="s">
        <v>2</v>
      </c>
      <c r="S6" s="1" t="s">
        <v>4</v>
      </c>
      <c r="T6" s="2" t="s">
        <v>5</v>
      </c>
      <c r="U6" s="3">
        <v>8</v>
      </c>
      <c r="V6" s="5">
        <v>11600</v>
      </c>
      <c r="W6" s="7" t="s">
        <v>7</v>
      </c>
    </row>
    <row r="7" ht="30" customHeight="1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2" t="s">
        <v>29</v>
      </c>
      <c r="G7" s="3">
        <v>5</v>
      </c>
      <c r="H7" s="4">
        <v>39</v>
      </c>
      <c r="I7" s="5">
        <v>195</v>
      </c>
      <c r="J7" s="6" t="s">
        <v>6</v>
      </c>
      <c r="K7" s="7" t="s">
        <v>30</v>
      </c>
      <c r="L7" s="1" t="s">
        <v>31</v>
      </c>
      <c r="M7" s="8">
        <v>45728.395833333336</v>
      </c>
      <c r="P7" s="1"/>
      <c r="Q7" s="1"/>
      <c r="R7" s="1"/>
      <c r="S7" s="1" t="s">
        <v>9</v>
      </c>
      <c r="T7" s="2" t="s">
        <v>10</v>
      </c>
      <c r="U7" s="3">
        <v>1</v>
      </c>
      <c r="V7" s="9">
        <v>950</v>
      </c>
      <c r="W7" s="7"/>
    </row>
    <row r="8" ht="30" customHeight="1">
      <c r="A8" s="1" t="s">
        <v>32</v>
      </c>
      <c r="B8" s="1" t="s">
        <v>33</v>
      </c>
      <c r="C8" s="1" t="s">
        <v>2</v>
      </c>
      <c r="D8" s="1" t="s">
        <v>34</v>
      </c>
      <c r="E8" s="1" t="s">
        <v>35</v>
      </c>
      <c r="F8" s="2" t="s">
        <v>36</v>
      </c>
      <c r="G8" s="3">
        <v>14</v>
      </c>
      <c r="H8" s="4">
        <v>520</v>
      </c>
      <c r="I8" s="5">
        <v>7280</v>
      </c>
      <c r="J8" s="6" t="s">
        <v>6</v>
      </c>
      <c r="K8" s="7" t="s">
        <v>37</v>
      </c>
      <c r="L8" s="1" t="s">
        <v>38</v>
      </c>
      <c r="M8" s="8">
        <v>45734.395833333336</v>
      </c>
      <c r="P8" s="1" t="s">
        <v>44</v>
      </c>
      <c r="Q8" s="1" t="s">
        <v>33</v>
      </c>
      <c r="R8" s="1" t="s">
        <v>2</v>
      </c>
      <c r="S8" s="1" t="s">
        <v>35</v>
      </c>
      <c r="T8" s="2" t="s">
        <v>36</v>
      </c>
      <c r="U8" s="3">
        <v>14</v>
      </c>
      <c r="V8" s="5">
        <v>7280</v>
      </c>
      <c r="W8" s="7" t="s">
        <v>37</v>
      </c>
    </row>
    <row r="9" ht="30" customHeight="1">
      <c r="A9" s="1"/>
      <c r="B9" s="1"/>
      <c r="C9" s="1"/>
      <c r="D9" s="1"/>
      <c r="E9" s="1" t="s">
        <v>39</v>
      </c>
      <c r="F9" s="2" t="s">
        <v>40</v>
      </c>
      <c r="G9" s="3">
        <v>2</v>
      </c>
      <c r="H9" s="4">
        <v>2100</v>
      </c>
      <c r="I9" s="5">
        <v>4200</v>
      </c>
      <c r="J9" s="6" t="s">
        <v>6</v>
      </c>
      <c r="K9" s="7"/>
      <c r="L9" s="1"/>
      <c r="M9" s="8"/>
      <c r="P9" s="1"/>
      <c r="Q9" s="1"/>
      <c r="R9" s="1"/>
      <c r="S9" s="1" t="s">
        <v>39</v>
      </c>
      <c r="T9" s="2" t="s">
        <v>40</v>
      </c>
      <c r="U9" s="3">
        <v>2</v>
      </c>
      <c r="V9" s="5">
        <v>4200</v>
      </c>
      <c r="W9" s="7"/>
    </row>
    <row r="10" ht="30" customHeight="1">
      <c r="A10" s="1" t="s">
        <v>41</v>
      </c>
      <c r="B10" s="1" t="s">
        <v>1</v>
      </c>
      <c r="C10" s="1" t="s">
        <v>2</v>
      </c>
      <c r="D10" s="1" t="s">
        <v>3</v>
      </c>
      <c r="E10" s="1" t="s">
        <v>4</v>
      </c>
      <c r="F10" s="2" t="s">
        <v>5</v>
      </c>
      <c r="G10" s="3">
        <v>8</v>
      </c>
      <c r="H10" s="4">
        <v>1450</v>
      </c>
      <c r="I10" s="5">
        <v>11600</v>
      </c>
      <c r="J10" s="6" t="s">
        <v>6</v>
      </c>
      <c r="K10" s="7" t="s">
        <v>7</v>
      </c>
      <c r="L10" s="1" t="s">
        <v>8</v>
      </c>
      <c r="M10" s="8">
        <v>45720.395833333336</v>
      </c>
      <c r="P10" s="1" t="s">
        <v>45</v>
      </c>
      <c r="Q10" s="1" t="s">
        <v>1</v>
      </c>
      <c r="R10" s="1" t="s">
        <v>2</v>
      </c>
      <c r="S10" s="1" t="s">
        <v>4</v>
      </c>
      <c r="T10" s="2" t="s">
        <v>5</v>
      </c>
      <c r="U10" s="3">
        <v>8</v>
      </c>
      <c r="V10" s="5">
        <v>11600</v>
      </c>
      <c r="W10" s="7" t="s">
        <v>7</v>
      </c>
    </row>
    <row r="11" ht="30" customHeight="1">
      <c r="A11" s="1"/>
      <c r="B11" s="1"/>
      <c r="C11" s="1"/>
      <c r="D11" s="1"/>
      <c r="E11" s="1" t="s">
        <v>9</v>
      </c>
      <c r="F11" s="2" t="s">
        <v>10</v>
      </c>
      <c r="G11" s="3">
        <v>1</v>
      </c>
      <c r="H11" s="4">
        <v>950</v>
      </c>
      <c r="I11" s="9">
        <v>950</v>
      </c>
      <c r="J11" s="10" t="s">
        <v>11</v>
      </c>
      <c r="K11" s="7"/>
      <c r="L11" s="1"/>
      <c r="M11" s="8"/>
      <c r="P11" s="1"/>
      <c r="Q11" s="1"/>
      <c r="R11" s="1"/>
      <c r="S11" s="1" t="s">
        <v>9</v>
      </c>
      <c r="T11" s="2" t="s">
        <v>10</v>
      </c>
      <c r="U11" s="3">
        <v>1</v>
      </c>
      <c r="V11" s="9">
        <v>950</v>
      </c>
      <c r="W11" s="7"/>
    </row>
    <row r="12" ht="30" customHeight="1">
      <c r="A12" s="1" t="s">
        <v>42</v>
      </c>
      <c r="B12" s="1" t="s">
        <v>13</v>
      </c>
      <c r="C12" s="1" t="s">
        <v>14</v>
      </c>
      <c r="D12" s="1" t="s">
        <v>15</v>
      </c>
      <c r="E12" s="1" t="s">
        <v>16</v>
      </c>
      <c r="F12" s="2" t="s">
        <v>17</v>
      </c>
      <c r="G12" s="3">
        <v>24</v>
      </c>
      <c r="H12" s="4">
        <v>79</v>
      </c>
      <c r="I12" s="5">
        <v>1896</v>
      </c>
      <c r="J12" s="6" t="s">
        <v>6</v>
      </c>
      <c r="K12" s="7" t="s">
        <v>18</v>
      </c>
      <c r="L12" s="1" t="s">
        <v>19</v>
      </c>
      <c r="M12" s="8">
        <v>45724.395833333336</v>
      </c>
      <c r="P12" s="1" t="s">
        <v>48</v>
      </c>
      <c r="Q12" s="1" t="s">
        <v>33</v>
      </c>
      <c r="R12" s="1" t="s">
        <v>2</v>
      </c>
      <c r="S12" s="1" t="s">
        <v>35</v>
      </c>
      <c r="T12" s="2" t="s">
        <v>36</v>
      </c>
      <c r="U12" s="3">
        <v>14</v>
      </c>
      <c r="V12" s="5">
        <v>7280</v>
      </c>
      <c r="W12" s="7" t="s">
        <v>37</v>
      </c>
    </row>
    <row r="13" ht="30" customHeight="1">
      <c r="A13" s="1"/>
      <c r="B13" s="1"/>
      <c r="C13" s="1"/>
      <c r="D13" s="1"/>
      <c r="E13" s="1" t="s">
        <v>20</v>
      </c>
      <c r="F13" s="2" t="s">
        <v>21</v>
      </c>
      <c r="G13" s="3">
        <v>2</v>
      </c>
      <c r="H13" s="4">
        <v>1250</v>
      </c>
      <c r="I13" s="5">
        <v>2500</v>
      </c>
      <c r="J13" s="6" t="s">
        <v>6</v>
      </c>
      <c r="K13" s="7"/>
      <c r="L13" s="1"/>
      <c r="M13" s="8"/>
      <c r="P13" s="1"/>
      <c r="Q13" s="1"/>
      <c r="R13" s="1"/>
      <c r="S13" s="1" t="s">
        <v>39</v>
      </c>
      <c r="T13" s="2" t="s">
        <v>40</v>
      </c>
      <c r="U13" s="3">
        <v>2</v>
      </c>
      <c r="V13" s="5">
        <v>4200</v>
      </c>
      <c r="W13" s="7"/>
    </row>
    <row r="14" ht="30" customHeight="1">
      <c r="A14" s="1"/>
      <c r="B14" s="1"/>
      <c r="C14" s="1"/>
      <c r="D14" s="1"/>
      <c r="E14" s="1" t="s">
        <v>22</v>
      </c>
      <c r="F14" s="2" t="s">
        <v>23</v>
      </c>
      <c r="G14" s="3">
        <v>1</v>
      </c>
      <c r="H14" s="4">
        <v>600</v>
      </c>
      <c r="I14" s="9">
        <v>600</v>
      </c>
      <c r="J14" s="10" t="s">
        <v>11</v>
      </c>
      <c r="K14" s="7"/>
      <c r="L14" s="1"/>
      <c r="M14" s="8"/>
      <c r="P14" s="1" t="s">
        <v>49</v>
      </c>
      <c r="Q14" s="1" t="s">
        <v>1</v>
      </c>
      <c r="R14" s="1" t="s">
        <v>2</v>
      </c>
      <c r="S14" s="1" t="s">
        <v>4</v>
      </c>
      <c r="T14" s="2" t="s">
        <v>5</v>
      </c>
      <c r="U14" s="3">
        <v>8</v>
      </c>
      <c r="V14" s="5">
        <v>11600</v>
      </c>
      <c r="W14" s="7" t="s">
        <v>7</v>
      </c>
    </row>
    <row r="15" ht="30" customHeight="1">
      <c r="A15" s="1" t="s">
        <v>43</v>
      </c>
      <c r="B15" s="1" t="s">
        <v>25</v>
      </c>
      <c r="C15" s="1" t="s">
        <v>26</v>
      </c>
      <c r="D15" s="1" t="s">
        <v>27</v>
      </c>
      <c r="E15" s="1" t="s">
        <v>28</v>
      </c>
      <c r="F15" s="2" t="s">
        <v>29</v>
      </c>
      <c r="G15" s="3">
        <v>5</v>
      </c>
      <c r="H15" s="4">
        <v>39</v>
      </c>
      <c r="I15" s="5">
        <v>195</v>
      </c>
      <c r="J15" s="6" t="s">
        <v>6</v>
      </c>
      <c r="K15" s="7" t="s">
        <v>30</v>
      </c>
      <c r="L15" s="1" t="s">
        <v>31</v>
      </c>
      <c r="M15" s="8">
        <v>45729.395833333336</v>
      </c>
      <c r="P15" s="1"/>
      <c r="Q15" s="1"/>
      <c r="R15" s="1"/>
      <c r="S15" s="1" t="s">
        <v>9</v>
      </c>
      <c r="T15" s="2" t="s">
        <v>10</v>
      </c>
      <c r="U15" s="3">
        <v>1</v>
      </c>
      <c r="V15" s="9">
        <v>950</v>
      </c>
      <c r="W15" s="7"/>
    </row>
    <row r="16" ht="30" customHeight="1">
      <c r="A16" s="1" t="s">
        <v>44</v>
      </c>
      <c r="B16" s="1" t="s">
        <v>33</v>
      </c>
      <c r="C16" s="1" t="s">
        <v>2</v>
      </c>
      <c r="D16" s="1" t="s">
        <v>34</v>
      </c>
      <c r="E16" s="1" t="s">
        <v>35</v>
      </c>
      <c r="F16" s="2" t="s">
        <v>36</v>
      </c>
      <c r="G16" s="3">
        <v>14</v>
      </c>
      <c r="H16" s="4">
        <v>520</v>
      </c>
      <c r="I16" s="5">
        <v>7280</v>
      </c>
      <c r="J16" s="6" t="s">
        <v>6</v>
      </c>
      <c r="K16" s="7" t="s">
        <v>37</v>
      </c>
      <c r="L16" s="1" t="s">
        <v>38</v>
      </c>
      <c r="M16" s="8">
        <v>45735.395833333336</v>
      </c>
      <c r="P16" s="1" t="s">
        <v>52</v>
      </c>
      <c r="Q16" s="1" t="s">
        <v>33</v>
      </c>
      <c r="R16" s="1" t="s">
        <v>2</v>
      </c>
      <c r="S16" s="1" t="s">
        <v>35</v>
      </c>
      <c r="T16" s="2" t="s">
        <v>36</v>
      </c>
      <c r="U16" s="3">
        <v>14</v>
      </c>
      <c r="V16" s="5">
        <v>7280</v>
      </c>
      <c r="W16" s="7" t="s">
        <v>37</v>
      </c>
    </row>
    <row r="17" ht="30" customHeight="1">
      <c r="A17" s="1"/>
      <c r="B17" s="1"/>
      <c r="C17" s="1"/>
      <c r="D17" s="1"/>
      <c r="E17" s="1" t="s">
        <v>39</v>
      </c>
      <c r="F17" s="2" t="s">
        <v>40</v>
      </c>
      <c r="G17" s="3">
        <v>2</v>
      </c>
      <c r="H17" s="4">
        <v>2100</v>
      </c>
      <c r="I17" s="5">
        <v>4200</v>
      </c>
      <c r="J17" s="6" t="s">
        <v>6</v>
      </c>
      <c r="K17" s="7"/>
      <c r="L17" s="1"/>
      <c r="M17" s="8"/>
      <c r="P17" s="1"/>
      <c r="Q17" s="1"/>
      <c r="R17" s="1"/>
      <c r="S17" s="1" t="s">
        <v>39</v>
      </c>
      <c r="T17" s="2" t="s">
        <v>40</v>
      </c>
      <c r="U17" s="3">
        <v>2</v>
      </c>
      <c r="V17" s="5">
        <v>4200</v>
      </c>
      <c r="W17" s="7"/>
    </row>
    <row r="18" ht="30" customHeight="1">
      <c r="A18" s="1" t="s">
        <v>45</v>
      </c>
      <c r="B18" s="1" t="s">
        <v>1</v>
      </c>
      <c r="C18" s="1" t="s">
        <v>2</v>
      </c>
      <c r="D18" s="1" t="s">
        <v>3</v>
      </c>
      <c r="E18" s="1" t="s">
        <v>4</v>
      </c>
      <c r="F18" s="2" t="s">
        <v>5</v>
      </c>
      <c r="G18" s="3">
        <v>8</v>
      </c>
      <c r="H18" s="4">
        <v>1450</v>
      </c>
      <c r="I18" s="5">
        <v>11600</v>
      </c>
      <c r="J18" s="6" t="s">
        <v>6</v>
      </c>
      <c r="K18" s="7" t="s">
        <v>7</v>
      </c>
      <c r="L18" s="1" t="s">
        <v>8</v>
      </c>
      <c r="M18" s="8">
        <v>45721.395833333336</v>
      </c>
      <c r="P18" s="1" t="s">
        <v>53</v>
      </c>
      <c r="Q18" s="1" t="s">
        <v>1</v>
      </c>
      <c r="R18" s="1" t="s">
        <v>2</v>
      </c>
      <c r="S18" s="1" t="s">
        <v>4</v>
      </c>
      <c r="T18" s="2" t="s">
        <v>5</v>
      </c>
      <c r="U18" s="3">
        <v>8</v>
      </c>
      <c r="V18" s="5">
        <v>11600</v>
      </c>
      <c r="W18" s="7" t="s">
        <v>7</v>
      </c>
    </row>
    <row r="19" ht="30" customHeight="1">
      <c r="A19" s="1"/>
      <c r="B19" s="1"/>
      <c r="C19" s="1"/>
      <c r="D19" s="1"/>
      <c r="E19" s="1" t="s">
        <v>9</v>
      </c>
      <c r="F19" s="2" t="s">
        <v>10</v>
      </c>
      <c r="G19" s="3">
        <v>1</v>
      </c>
      <c r="H19" s="4">
        <v>950</v>
      </c>
      <c r="I19" s="9">
        <v>950</v>
      </c>
      <c r="J19" s="10" t="s">
        <v>11</v>
      </c>
      <c r="K19" s="7"/>
      <c r="L19" s="1"/>
      <c r="M19" s="8"/>
      <c r="P19" s="1"/>
      <c r="Q19" s="1"/>
      <c r="R19" s="1"/>
      <c r="S19" s="1" t="s">
        <v>9</v>
      </c>
      <c r="T19" s="2" t="s">
        <v>10</v>
      </c>
      <c r="U19" s="3">
        <v>1</v>
      </c>
      <c r="V19" s="9">
        <v>950</v>
      </c>
      <c r="W19" s="7"/>
    </row>
    <row r="20" ht="30" customHeight="1">
      <c r="A20" s="1" t="s">
        <v>46</v>
      </c>
      <c r="B20" s="1" t="s">
        <v>13</v>
      </c>
      <c r="C20" s="1" t="s">
        <v>14</v>
      </c>
      <c r="D20" s="1" t="s">
        <v>15</v>
      </c>
      <c r="E20" s="1" t="s">
        <v>16</v>
      </c>
      <c r="F20" s="2" t="s">
        <v>17</v>
      </c>
      <c r="G20" s="3">
        <v>24</v>
      </c>
      <c r="H20" s="4">
        <v>79</v>
      </c>
      <c r="I20" s="5">
        <v>1896</v>
      </c>
      <c r="J20" s="6" t="s">
        <v>6</v>
      </c>
      <c r="K20" s="7" t="s">
        <v>18</v>
      </c>
      <c r="L20" s="1" t="s">
        <v>19</v>
      </c>
      <c r="M20" s="8">
        <v>45725.395833333336</v>
      </c>
      <c r="P20" s="1" t="s">
        <v>56</v>
      </c>
      <c r="Q20" s="1" t="s">
        <v>33</v>
      </c>
      <c r="R20" s="1" t="s">
        <v>2</v>
      </c>
      <c r="S20" s="1" t="s">
        <v>35</v>
      </c>
      <c r="T20" s="2" t="s">
        <v>36</v>
      </c>
      <c r="U20" s="3">
        <v>14</v>
      </c>
      <c r="V20" s="5">
        <v>7280</v>
      </c>
      <c r="W20" s="7" t="s">
        <v>37</v>
      </c>
    </row>
    <row r="21" ht="30" customHeight="1">
      <c r="A21" s="1"/>
      <c r="B21" s="1"/>
      <c r="C21" s="1"/>
      <c r="D21" s="1"/>
      <c r="E21" s="1" t="s">
        <v>20</v>
      </c>
      <c r="F21" s="2" t="s">
        <v>21</v>
      </c>
      <c r="G21" s="3">
        <v>2</v>
      </c>
      <c r="H21" s="4">
        <v>1250</v>
      </c>
      <c r="I21" s="5">
        <v>2500</v>
      </c>
      <c r="J21" s="6" t="s">
        <v>6</v>
      </c>
      <c r="K21" s="7"/>
      <c r="L21" s="1"/>
      <c r="M21" s="8"/>
      <c r="P21" s="1"/>
      <c r="Q21" s="1"/>
      <c r="R21" s="1"/>
      <c r="S21" s="1" t="s">
        <v>39</v>
      </c>
      <c r="T21" s="2" t="s">
        <v>40</v>
      </c>
      <c r="U21" s="3">
        <v>2</v>
      </c>
      <c r="V21" s="5">
        <v>4200</v>
      </c>
      <c r="W21" s="7"/>
    </row>
    <row r="22" ht="30" customHeight="1">
      <c r="A22" s="1"/>
      <c r="B22" s="1"/>
      <c r="C22" s="1"/>
      <c r="D22" s="1"/>
      <c r="E22" s="1" t="s">
        <v>22</v>
      </c>
      <c r="F22" s="2" t="s">
        <v>23</v>
      </c>
      <c r="G22" s="3">
        <v>1</v>
      </c>
      <c r="H22" s="4">
        <v>600</v>
      </c>
      <c r="I22" s="9">
        <v>600</v>
      </c>
      <c r="J22" s="10" t="s">
        <v>11</v>
      </c>
      <c r="K22" s="7"/>
      <c r="L22" s="1"/>
      <c r="M22" s="8"/>
      <c r="P22" s="1" t="s">
        <v>57</v>
      </c>
      <c r="Q22" s="1" t="s">
        <v>1</v>
      </c>
      <c r="R22" s="1" t="s">
        <v>2</v>
      </c>
      <c r="S22" s="1" t="s">
        <v>4</v>
      </c>
      <c r="T22" s="2" t="s">
        <v>5</v>
      </c>
      <c r="U22" s="3">
        <v>8</v>
      </c>
      <c r="V22" s="5">
        <v>11600</v>
      </c>
      <c r="W22" s="7" t="s">
        <v>7</v>
      </c>
    </row>
    <row r="23" ht="30" customHeight="1">
      <c r="A23" s="1" t="s">
        <v>47</v>
      </c>
      <c r="B23" s="1" t="s">
        <v>25</v>
      </c>
      <c r="C23" s="1" t="s">
        <v>26</v>
      </c>
      <c r="D23" s="1" t="s">
        <v>27</v>
      </c>
      <c r="E23" s="1" t="s">
        <v>28</v>
      </c>
      <c r="F23" s="2" t="s">
        <v>29</v>
      </c>
      <c r="G23" s="3">
        <v>5</v>
      </c>
      <c r="H23" s="4">
        <v>39</v>
      </c>
      <c r="I23" s="5">
        <v>195</v>
      </c>
      <c r="J23" s="6" t="s">
        <v>6</v>
      </c>
      <c r="K23" s="7" t="s">
        <v>30</v>
      </c>
      <c r="L23" s="1" t="s">
        <v>31</v>
      </c>
      <c r="M23" s="8">
        <v>45730.395833333336</v>
      </c>
      <c r="P23" s="1"/>
      <c r="Q23" s="1"/>
      <c r="R23" s="1"/>
      <c r="S23" s="1" t="s">
        <v>9</v>
      </c>
      <c r="T23" s="2" t="s">
        <v>10</v>
      </c>
      <c r="U23" s="3">
        <v>1</v>
      </c>
      <c r="V23" s="9">
        <v>950</v>
      </c>
      <c r="W23" s="7"/>
    </row>
    <row r="24" ht="30" customHeight="1">
      <c r="A24" s="1" t="s">
        <v>48</v>
      </c>
      <c r="B24" s="1" t="s">
        <v>33</v>
      </c>
      <c r="C24" s="1" t="s">
        <v>2</v>
      </c>
      <c r="D24" s="1" t="s">
        <v>34</v>
      </c>
      <c r="E24" s="1" t="s">
        <v>35</v>
      </c>
      <c r="F24" s="2" t="s">
        <v>36</v>
      </c>
      <c r="G24" s="3">
        <v>14</v>
      </c>
      <c r="H24" s="4">
        <v>520</v>
      </c>
      <c r="I24" s="5">
        <v>7280</v>
      </c>
      <c r="J24" s="6" t="s">
        <v>6</v>
      </c>
      <c r="K24" s="7" t="s">
        <v>37</v>
      </c>
      <c r="L24" s="1" t="s">
        <v>38</v>
      </c>
      <c r="M24" s="8">
        <v>45736.395833333336</v>
      </c>
      <c r="P24" s="1" t="s">
        <v>60</v>
      </c>
      <c r="Q24" s="1" t="s">
        <v>33</v>
      </c>
      <c r="R24" s="1" t="s">
        <v>2</v>
      </c>
      <c r="S24" s="1" t="s">
        <v>35</v>
      </c>
      <c r="T24" s="2" t="s">
        <v>36</v>
      </c>
      <c r="U24" s="3">
        <v>14</v>
      </c>
      <c r="V24" s="5">
        <v>7280</v>
      </c>
      <c r="W24" s="7" t="s">
        <v>37</v>
      </c>
    </row>
    <row r="25" ht="30" customHeight="1">
      <c r="A25" s="1"/>
      <c r="B25" s="1"/>
      <c r="C25" s="1"/>
      <c r="D25" s="1"/>
      <c r="E25" s="1" t="s">
        <v>39</v>
      </c>
      <c r="F25" s="2" t="s">
        <v>40</v>
      </c>
      <c r="G25" s="3">
        <v>2</v>
      </c>
      <c r="H25" s="4">
        <v>2100</v>
      </c>
      <c r="I25" s="5">
        <v>4200</v>
      </c>
      <c r="J25" s="6" t="s">
        <v>6</v>
      </c>
      <c r="K25" s="7"/>
      <c r="L25" s="1"/>
      <c r="M25" s="8"/>
      <c r="P25" s="1"/>
      <c r="Q25" s="1"/>
      <c r="R25" s="1"/>
      <c r="S25" s="1" t="s">
        <v>39</v>
      </c>
      <c r="T25" s="2" t="s">
        <v>40</v>
      </c>
      <c r="U25" s="3">
        <v>2</v>
      </c>
      <c r="V25" s="5">
        <v>4200</v>
      </c>
      <c r="W25" s="7"/>
    </row>
    <row r="26" ht="30" customHeight="1">
      <c r="A26" s="1" t="s">
        <v>49</v>
      </c>
      <c r="B26" s="1" t="s">
        <v>1</v>
      </c>
      <c r="C26" s="1" t="s">
        <v>2</v>
      </c>
      <c r="D26" s="1" t="s">
        <v>3</v>
      </c>
      <c r="E26" s="1" t="s">
        <v>4</v>
      </c>
      <c r="F26" s="2" t="s">
        <v>5</v>
      </c>
      <c r="G26" s="3">
        <v>8</v>
      </c>
      <c r="H26" s="4">
        <v>1450</v>
      </c>
      <c r="I26" s="5">
        <v>11600</v>
      </c>
      <c r="J26" s="6" t="s">
        <v>6</v>
      </c>
      <c r="K26" s="7" t="s">
        <v>7</v>
      </c>
      <c r="L26" s="1" t="s">
        <v>8</v>
      </c>
      <c r="M26" s="8">
        <v>45722.395833333336</v>
      </c>
      <c r="P26" s="1" t="s">
        <v>61</v>
      </c>
      <c r="Q26" s="1" t="s">
        <v>1</v>
      </c>
      <c r="R26" s="1" t="s">
        <v>2</v>
      </c>
      <c r="S26" s="1" t="s">
        <v>4</v>
      </c>
      <c r="T26" s="2" t="s">
        <v>5</v>
      </c>
      <c r="U26" s="3">
        <v>8</v>
      </c>
      <c r="V26" s="5">
        <v>11600</v>
      </c>
      <c r="W26" s="7" t="s">
        <v>7</v>
      </c>
    </row>
    <row r="27" ht="30" customHeight="1">
      <c r="A27" s="1"/>
      <c r="B27" s="1"/>
      <c r="C27" s="1"/>
      <c r="D27" s="1"/>
      <c r="E27" s="1" t="s">
        <v>9</v>
      </c>
      <c r="F27" s="2" t="s">
        <v>10</v>
      </c>
      <c r="G27" s="3">
        <v>1</v>
      </c>
      <c r="H27" s="4">
        <v>950</v>
      </c>
      <c r="I27" s="9">
        <v>950</v>
      </c>
      <c r="J27" s="10" t="s">
        <v>11</v>
      </c>
      <c r="K27" s="7"/>
      <c r="L27" s="1"/>
      <c r="M27" s="8"/>
      <c r="P27" s="1"/>
      <c r="Q27" s="1"/>
      <c r="R27" s="1"/>
      <c r="S27" s="1" t="s">
        <v>9</v>
      </c>
      <c r="T27" s="2" t="s">
        <v>10</v>
      </c>
      <c r="U27" s="3">
        <v>1</v>
      </c>
      <c r="V27" s="9">
        <v>950</v>
      </c>
      <c r="W27" s="7"/>
    </row>
    <row r="28" ht="30" customHeight="1">
      <c r="A28" s="1" t="s">
        <v>50</v>
      </c>
      <c r="B28" s="1" t="s">
        <v>13</v>
      </c>
      <c r="C28" s="1" t="s">
        <v>14</v>
      </c>
      <c r="D28" s="1" t="s">
        <v>15</v>
      </c>
      <c r="E28" s="1" t="s">
        <v>16</v>
      </c>
      <c r="F28" s="2" t="s">
        <v>17</v>
      </c>
      <c r="G28" s="3">
        <v>24</v>
      </c>
      <c r="H28" s="4">
        <v>79</v>
      </c>
      <c r="I28" s="5">
        <v>1896</v>
      </c>
      <c r="J28" s="6" t="s">
        <v>6</v>
      </c>
      <c r="K28" s="7" t="s">
        <v>18</v>
      </c>
      <c r="L28" s="1" t="s">
        <v>19</v>
      </c>
      <c r="M28" s="8">
        <v>45726.395833333336</v>
      </c>
      <c r="P28" s="1" t="s">
        <v>64</v>
      </c>
      <c r="Q28" s="1" t="s">
        <v>33</v>
      </c>
      <c r="R28" s="1" t="s">
        <v>2</v>
      </c>
      <c r="S28" s="1" t="s">
        <v>35</v>
      </c>
      <c r="T28" s="2" t="s">
        <v>36</v>
      </c>
      <c r="U28" s="3">
        <v>14</v>
      </c>
      <c r="V28" s="5">
        <v>7280</v>
      </c>
      <c r="W28" s="7" t="s">
        <v>37</v>
      </c>
    </row>
    <row r="29" ht="30" customHeight="1">
      <c r="A29" s="1"/>
      <c r="B29" s="1"/>
      <c r="C29" s="1"/>
      <c r="D29" s="1"/>
      <c r="E29" s="1" t="s">
        <v>20</v>
      </c>
      <c r="F29" s="2" t="s">
        <v>21</v>
      </c>
      <c r="G29" s="3">
        <v>2</v>
      </c>
      <c r="H29" s="4">
        <v>1250</v>
      </c>
      <c r="I29" s="5">
        <v>2500</v>
      </c>
      <c r="J29" s="6" t="s">
        <v>6</v>
      </c>
      <c r="K29" s="7"/>
      <c r="L29" s="1"/>
      <c r="M29" s="8"/>
      <c r="P29" s="1"/>
      <c r="Q29" s="1"/>
      <c r="R29" s="1"/>
      <c r="S29" s="1" t="s">
        <v>39</v>
      </c>
      <c r="T29" s="2" t="s">
        <v>40</v>
      </c>
      <c r="U29" s="3">
        <v>2</v>
      </c>
      <c r="V29" s="5">
        <v>4200</v>
      </c>
      <c r="W29" s="7"/>
    </row>
    <row r="30" ht="30" customHeight="1">
      <c r="A30" s="1"/>
      <c r="B30" s="1"/>
      <c r="C30" s="1"/>
      <c r="D30" s="1"/>
      <c r="E30" s="1" t="s">
        <v>22</v>
      </c>
      <c r="F30" s="2" t="s">
        <v>23</v>
      </c>
      <c r="G30" s="3">
        <v>1</v>
      </c>
      <c r="H30" s="4">
        <v>600</v>
      </c>
      <c r="I30" s="9">
        <v>600</v>
      </c>
      <c r="J30" s="10" t="s">
        <v>11</v>
      </c>
      <c r="K30" s="7"/>
      <c r="L30" s="1"/>
      <c r="M30" s="8"/>
      <c r="P30" s="1" t="s">
        <v>65</v>
      </c>
      <c r="Q30" s="1" t="s">
        <v>1</v>
      </c>
      <c r="R30" s="1" t="s">
        <v>2</v>
      </c>
      <c r="S30" s="1" t="s">
        <v>4</v>
      </c>
      <c r="T30" s="2" t="s">
        <v>5</v>
      </c>
      <c r="U30" s="3">
        <v>8</v>
      </c>
      <c r="V30" s="5">
        <v>11600</v>
      </c>
      <c r="W30" s="7" t="s">
        <v>7</v>
      </c>
    </row>
    <row r="31" ht="30" customHeight="1">
      <c r="A31" s="1" t="s">
        <v>51</v>
      </c>
      <c r="B31" s="1" t="s">
        <v>25</v>
      </c>
      <c r="C31" s="1" t="s">
        <v>26</v>
      </c>
      <c r="D31" s="1" t="s">
        <v>27</v>
      </c>
      <c r="E31" s="1" t="s">
        <v>28</v>
      </c>
      <c r="F31" s="2" t="s">
        <v>29</v>
      </c>
      <c r="G31" s="3">
        <v>5</v>
      </c>
      <c r="H31" s="4">
        <v>39</v>
      </c>
      <c r="I31" s="5">
        <v>195</v>
      </c>
      <c r="J31" s="6" t="s">
        <v>6</v>
      </c>
      <c r="K31" s="7" t="s">
        <v>30</v>
      </c>
      <c r="L31" s="1" t="s">
        <v>31</v>
      </c>
      <c r="M31" s="8">
        <v>45731.395833333336</v>
      </c>
      <c r="P31" s="1"/>
      <c r="Q31" s="1"/>
      <c r="R31" s="1"/>
      <c r="S31" s="1" t="s">
        <v>9</v>
      </c>
      <c r="T31" s="2" t="s">
        <v>10</v>
      </c>
      <c r="U31" s="3">
        <v>1</v>
      </c>
      <c r="V31" s="9">
        <v>950</v>
      </c>
      <c r="W31" s="7"/>
    </row>
    <row r="32" ht="30" customHeight="1">
      <c r="A32" s="1" t="s">
        <v>52</v>
      </c>
      <c r="B32" s="1" t="s">
        <v>33</v>
      </c>
      <c r="C32" s="1" t="s">
        <v>2</v>
      </c>
      <c r="D32" s="1" t="s">
        <v>34</v>
      </c>
      <c r="E32" s="1" t="s">
        <v>35</v>
      </c>
      <c r="F32" s="2" t="s">
        <v>36</v>
      </c>
      <c r="G32" s="3">
        <v>14</v>
      </c>
      <c r="H32" s="4">
        <v>520</v>
      </c>
      <c r="I32" s="5">
        <v>7280</v>
      </c>
      <c r="J32" s="6" t="s">
        <v>6</v>
      </c>
      <c r="K32" s="7" t="s">
        <v>37</v>
      </c>
      <c r="L32" s="1" t="s">
        <v>38</v>
      </c>
      <c r="M32" s="8">
        <v>45737.395833333336</v>
      </c>
      <c r="P32" s="1" t="s">
        <v>68</v>
      </c>
      <c r="Q32" s="1" t="s">
        <v>33</v>
      </c>
      <c r="R32" s="1" t="s">
        <v>2</v>
      </c>
      <c r="S32" s="1" t="s">
        <v>35</v>
      </c>
      <c r="T32" s="2" t="s">
        <v>36</v>
      </c>
      <c r="U32" s="3">
        <v>14</v>
      </c>
      <c r="V32" s="5">
        <v>7280</v>
      </c>
      <c r="W32" s="7" t="s">
        <v>37</v>
      </c>
    </row>
    <row r="33" ht="30" customHeight="1">
      <c r="A33" s="1"/>
      <c r="B33" s="1"/>
      <c r="C33" s="1"/>
      <c r="D33" s="1"/>
      <c r="E33" s="1" t="s">
        <v>39</v>
      </c>
      <c r="F33" s="2" t="s">
        <v>40</v>
      </c>
      <c r="G33" s="3">
        <v>2</v>
      </c>
      <c r="H33" s="4">
        <v>2100</v>
      </c>
      <c r="I33" s="5">
        <v>4200</v>
      </c>
      <c r="J33" s="6" t="s">
        <v>6</v>
      </c>
      <c r="K33" s="7"/>
      <c r="L33" s="1"/>
      <c r="M33" s="8"/>
      <c r="P33" s="1"/>
      <c r="Q33" s="1"/>
      <c r="R33" s="1"/>
      <c r="S33" s="1" t="s">
        <v>39</v>
      </c>
      <c r="T33" s="2" t="s">
        <v>40</v>
      </c>
      <c r="U33" s="3">
        <v>2</v>
      </c>
      <c r="V33" s="5">
        <v>4200</v>
      </c>
      <c r="W33" s="7"/>
    </row>
    <row r="34" ht="30" customHeight="1">
      <c r="A34" s="1" t="s">
        <v>53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5</v>
      </c>
      <c r="G34" s="3">
        <v>8</v>
      </c>
      <c r="H34" s="4">
        <v>1450</v>
      </c>
      <c r="I34" s="5">
        <v>11600</v>
      </c>
      <c r="J34" s="6" t="s">
        <v>6</v>
      </c>
      <c r="K34" s="7" t="s">
        <v>7</v>
      </c>
      <c r="L34" s="1" t="s">
        <v>8</v>
      </c>
      <c r="M34" s="8">
        <v>45723.395833333336</v>
      </c>
      <c r="P34" s="19">
        <v>16</v>
      </c>
      <c r="U34" s="19">
        <v>200</v>
      </c>
      <c r="V34" s="22">
        <v>192240</v>
      </c>
    </row>
    <row r="35" ht="30" customHeight="1">
      <c r="A35" s="1"/>
      <c r="B35" s="1"/>
      <c r="C35" s="1"/>
      <c r="D35" s="1"/>
      <c r="E35" s="1" t="s">
        <v>9</v>
      </c>
      <c r="F35" s="2" t="s">
        <v>10</v>
      </c>
      <c r="G35" s="3">
        <v>1</v>
      </c>
      <c r="H35" s="4">
        <v>950</v>
      </c>
      <c r="I35" s="9">
        <v>950</v>
      </c>
      <c r="J35" s="10" t="s">
        <v>11</v>
      </c>
      <c r="K35" s="7"/>
      <c r="L35" s="1"/>
      <c r="M35" s="8"/>
    </row>
    <row r="36" ht="30" customHeight="1">
      <c r="A36" s="1" t="s">
        <v>54</v>
      </c>
      <c r="B36" s="1" t="s">
        <v>13</v>
      </c>
      <c r="C36" s="1" t="s">
        <v>14</v>
      </c>
      <c r="D36" s="1" t="s">
        <v>15</v>
      </c>
      <c r="E36" s="1" t="s">
        <v>16</v>
      </c>
      <c r="F36" s="2" t="s">
        <v>17</v>
      </c>
      <c r="G36" s="3">
        <v>24</v>
      </c>
      <c r="H36" s="4">
        <v>79</v>
      </c>
      <c r="I36" s="5">
        <v>1896</v>
      </c>
      <c r="J36" s="6" t="s">
        <v>6</v>
      </c>
      <c r="K36" s="7" t="s">
        <v>18</v>
      </c>
      <c r="L36" s="1" t="s">
        <v>19</v>
      </c>
      <c r="M36" s="8">
        <v>45727.395833333336</v>
      </c>
    </row>
    <row r="37" ht="30" customHeight="1">
      <c r="A37" s="1"/>
      <c r="B37" s="1"/>
      <c r="C37" s="1"/>
      <c r="D37" s="1"/>
      <c r="E37" s="1" t="s">
        <v>20</v>
      </c>
      <c r="F37" s="2" t="s">
        <v>21</v>
      </c>
      <c r="G37" s="3">
        <v>2</v>
      </c>
      <c r="H37" s="4">
        <v>1250</v>
      </c>
      <c r="I37" s="5">
        <v>2500</v>
      </c>
      <c r="J37" s="6" t="s">
        <v>6</v>
      </c>
      <c r="K37" s="7"/>
      <c r="L37" s="1"/>
      <c r="M37" s="8"/>
    </row>
    <row r="38" ht="30" customHeight="1">
      <c r="A38" s="1"/>
      <c r="B38" s="1"/>
      <c r="C38" s="1"/>
      <c r="D38" s="1"/>
      <c r="E38" s="1" t="s">
        <v>22</v>
      </c>
      <c r="F38" s="2" t="s">
        <v>23</v>
      </c>
      <c r="G38" s="3">
        <v>1</v>
      </c>
      <c r="H38" s="4">
        <v>600</v>
      </c>
      <c r="I38" s="9">
        <v>600</v>
      </c>
      <c r="J38" s="10" t="s">
        <v>11</v>
      </c>
      <c r="K38" s="7"/>
      <c r="L38" s="1"/>
      <c r="M38" s="8"/>
    </row>
    <row r="39" ht="30" customHeight="1">
      <c r="A39" s="1" t="s">
        <v>55</v>
      </c>
      <c r="B39" s="1" t="s">
        <v>25</v>
      </c>
      <c r="C39" s="1" t="s">
        <v>26</v>
      </c>
      <c r="D39" s="1" t="s">
        <v>27</v>
      </c>
      <c r="E39" s="1" t="s">
        <v>28</v>
      </c>
      <c r="F39" s="2" t="s">
        <v>29</v>
      </c>
      <c r="G39" s="3">
        <v>5</v>
      </c>
      <c r="H39" s="4">
        <v>39</v>
      </c>
      <c r="I39" s="5">
        <v>195</v>
      </c>
      <c r="J39" s="6" t="s">
        <v>6</v>
      </c>
      <c r="K39" s="7" t="s">
        <v>30</v>
      </c>
      <c r="L39" s="1" t="s">
        <v>31</v>
      </c>
      <c r="M39" s="8">
        <v>45732.395833333336</v>
      </c>
    </row>
    <row r="40" ht="30" customHeight="1">
      <c r="A40" s="1" t="s">
        <v>56</v>
      </c>
      <c r="B40" s="1" t="s">
        <v>33</v>
      </c>
      <c r="C40" s="1" t="s">
        <v>2</v>
      </c>
      <c r="D40" s="1" t="s">
        <v>34</v>
      </c>
      <c r="E40" s="1" t="s">
        <v>35</v>
      </c>
      <c r="F40" s="2" t="s">
        <v>36</v>
      </c>
      <c r="G40" s="3">
        <v>14</v>
      </c>
      <c r="H40" s="4">
        <v>520</v>
      </c>
      <c r="I40" s="5">
        <v>7280</v>
      </c>
      <c r="J40" s="6" t="s">
        <v>6</v>
      </c>
      <c r="K40" s="7" t="s">
        <v>37</v>
      </c>
      <c r="L40" s="1" t="s">
        <v>38</v>
      </c>
      <c r="M40" s="8">
        <v>45738.395833333336</v>
      </c>
    </row>
    <row r="41" ht="30" customHeight="1">
      <c r="A41" s="1"/>
      <c r="B41" s="1"/>
      <c r="C41" s="1"/>
      <c r="D41" s="1"/>
      <c r="E41" s="1" t="s">
        <v>39</v>
      </c>
      <c r="F41" s="2" t="s">
        <v>40</v>
      </c>
      <c r="G41" s="3">
        <v>2</v>
      </c>
      <c r="H41" s="4">
        <v>2100</v>
      </c>
      <c r="I41" s="5">
        <v>4200</v>
      </c>
      <c r="J41" s="6" t="s">
        <v>6</v>
      </c>
      <c r="K41" s="7"/>
      <c r="L41" s="1"/>
      <c r="M41" s="8"/>
    </row>
    <row r="42" ht="30" customHeight="1">
      <c r="A42" s="1" t="s">
        <v>57</v>
      </c>
      <c r="B42" s="1" t="s">
        <v>1</v>
      </c>
      <c r="C42" s="1" t="s">
        <v>2</v>
      </c>
      <c r="D42" s="1" t="s">
        <v>3</v>
      </c>
      <c r="E42" s="1" t="s">
        <v>4</v>
      </c>
      <c r="F42" s="2" t="s">
        <v>5</v>
      </c>
      <c r="G42" s="3">
        <v>8</v>
      </c>
      <c r="H42" s="4">
        <v>1450</v>
      </c>
      <c r="I42" s="5">
        <v>11600</v>
      </c>
      <c r="J42" s="6" t="s">
        <v>6</v>
      </c>
      <c r="K42" s="7" t="s">
        <v>7</v>
      </c>
      <c r="L42" s="1" t="s">
        <v>8</v>
      </c>
      <c r="M42" s="8">
        <v>45724.395833333336</v>
      </c>
    </row>
    <row r="43" ht="30" customHeight="1">
      <c r="A43" s="1"/>
      <c r="B43" s="1"/>
      <c r="C43" s="1"/>
      <c r="D43" s="1"/>
      <c r="E43" s="1" t="s">
        <v>9</v>
      </c>
      <c r="F43" s="2" t="s">
        <v>10</v>
      </c>
      <c r="G43" s="3">
        <v>1</v>
      </c>
      <c r="H43" s="4">
        <v>950</v>
      </c>
      <c r="I43" s="9">
        <v>950</v>
      </c>
      <c r="J43" s="10" t="s">
        <v>11</v>
      </c>
      <c r="K43" s="7"/>
      <c r="L43" s="1"/>
      <c r="M43" s="8"/>
    </row>
    <row r="44" ht="30" customHeight="1">
      <c r="A44" s="1" t="s">
        <v>58</v>
      </c>
      <c r="B44" s="1" t="s">
        <v>13</v>
      </c>
      <c r="C44" s="1" t="s">
        <v>14</v>
      </c>
      <c r="D44" s="1" t="s">
        <v>15</v>
      </c>
      <c r="E44" s="1" t="s">
        <v>16</v>
      </c>
      <c r="F44" s="2" t="s">
        <v>17</v>
      </c>
      <c r="G44" s="3">
        <v>24</v>
      </c>
      <c r="H44" s="4">
        <v>79</v>
      </c>
      <c r="I44" s="5">
        <v>1896</v>
      </c>
      <c r="J44" s="6" t="s">
        <v>6</v>
      </c>
      <c r="K44" s="7" t="s">
        <v>18</v>
      </c>
      <c r="L44" s="1" t="s">
        <v>19</v>
      </c>
      <c r="M44" s="8">
        <v>45728.395833333336</v>
      </c>
    </row>
    <row r="45" ht="30" customHeight="1">
      <c r="A45" s="1"/>
      <c r="B45" s="1"/>
      <c r="C45" s="1"/>
      <c r="D45" s="1"/>
      <c r="E45" s="1" t="s">
        <v>20</v>
      </c>
      <c r="F45" s="2" t="s">
        <v>21</v>
      </c>
      <c r="G45" s="3">
        <v>2</v>
      </c>
      <c r="H45" s="4">
        <v>1250</v>
      </c>
      <c r="I45" s="5">
        <v>2500</v>
      </c>
      <c r="J45" s="6" t="s">
        <v>6</v>
      </c>
      <c r="K45" s="7"/>
      <c r="L45" s="1"/>
      <c r="M45" s="8"/>
    </row>
    <row r="46" ht="30" customHeight="1">
      <c r="A46" s="1"/>
      <c r="B46" s="1"/>
      <c r="C46" s="1"/>
      <c r="D46" s="1"/>
      <c r="E46" s="1" t="s">
        <v>22</v>
      </c>
      <c r="F46" s="2" t="s">
        <v>23</v>
      </c>
      <c r="G46" s="3">
        <v>1</v>
      </c>
      <c r="H46" s="4">
        <v>600</v>
      </c>
      <c r="I46" s="9">
        <v>600</v>
      </c>
      <c r="J46" s="10" t="s">
        <v>11</v>
      </c>
      <c r="K46" s="7"/>
      <c r="L46" s="1"/>
      <c r="M46" s="8"/>
    </row>
    <row r="47" ht="30" customHeight="1">
      <c r="A47" s="1" t="s">
        <v>59</v>
      </c>
      <c r="B47" s="1" t="s">
        <v>25</v>
      </c>
      <c r="C47" s="1" t="s">
        <v>26</v>
      </c>
      <c r="D47" s="1" t="s">
        <v>27</v>
      </c>
      <c r="E47" s="1" t="s">
        <v>28</v>
      </c>
      <c r="F47" s="2" t="s">
        <v>29</v>
      </c>
      <c r="G47" s="3">
        <v>5</v>
      </c>
      <c r="H47" s="4">
        <v>39</v>
      </c>
      <c r="I47" s="5">
        <v>195</v>
      </c>
      <c r="J47" s="6" t="s">
        <v>6</v>
      </c>
      <c r="K47" s="7" t="s">
        <v>30</v>
      </c>
      <c r="L47" s="1" t="s">
        <v>31</v>
      </c>
      <c r="M47" s="8">
        <v>45733.395833333336</v>
      </c>
    </row>
    <row r="48" ht="30" customHeight="1">
      <c r="A48" s="1" t="s">
        <v>60</v>
      </c>
      <c r="B48" s="1" t="s">
        <v>33</v>
      </c>
      <c r="C48" s="1" t="s">
        <v>2</v>
      </c>
      <c r="D48" s="1" t="s">
        <v>34</v>
      </c>
      <c r="E48" s="1" t="s">
        <v>35</v>
      </c>
      <c r="F48" s="2" t="s">
        <v>36</v>
      </c>
      <c r="G48" s="3">
        <v>14</v>
      </c>
      <c r="H48" s="4">
        <v>520</v>
      </c>
      <c r="I48" s="5">
        <v>7280</v>
      </c>
      <c r="J48" s="6" t="s">
        <v>6</v>
      </c>
      <c r="K48" s="7" t="s">
        <v>37</v>
      </c>
      <c r="L48" s="1" t="s">
        <v>38</v>
      </c>
      <c r="M48" s="8">
        <v>45739.395833333336</v>
      </c>
    </row>
    <row r="49" ht="30" customHeight="1">
      <c r="A49" s="1"/>
      <c r="B49" s="1"/>
      <c r="C49" s="1"/>
      <c r="D49" s="1"/>
      <c r="E49" s="1" t="s">
        <v>39</v>
      </c>
      <c r="F49" s="2" t="s">
        <v>40</v>
      </c>
      <c r="G49" s="3">
        <v>2</v>
      </c>
      <c r="H49" s="4">
        <v>2100</v>
      </c>
      <c r="I49" s="5">
        <v>4200</v>
      </c>
      <c r="J49" s="6" t="s">
        <v>6</v>
      </c>
      <c r="K49" s="7"/>
      <c r="L49" s="1"/>
      <c r="M49" s="8"/>
    </row>
    <row r="50" ht="30" customHeight="1">
      <c r="A50" s="1" t="s">
        <v>61</v>
      </c>
      <c r="B50" s="1" t="s">
        <v>1</v>
      </c>
      <c r="C50" s="1" t="s">
        <v>2</v>
      </c>
      <c r="D50" s="1" t="s">
        <v>3</v>
      </c>
      <c r="E50" s="1" t="s">
        <v>4</v>
      </c>
      <c r="F50" s="2" t="s">
        <v>5</v>
      </c>
      <c r="G50" s="3">
        <v>8</v>
      </c>
      <c r="H50" s="4">
        <v>1450</v>
      </c>
      <c r="I50" s="5">
        <v>11600</v>
      </c>
      <c r="J50" s="6" t="s">
        <v>6</v>
      </c>
      <c r="K50" s="7" t="s">
        <v>7</v>
      </c>
      <c r="L50" s="1" t="s">
        <v>8</v>
      </c>
      <c r="M50" s="8">
        <v>45725.395833333336</v>
      </c>
    </row>
    <row r="51" ht="30" customHeight="1">
      <c r="A51" s="1"/>
      <c r="B51" s="1"/>
      <c r="C51" s="1"/>
      <c r="D51" s="1"/>
      <c r="E51" s="1" t="s">
        <v>9</v>
      </c>
      <c r="F51" s="2" t="s">
        <v>10</v>
      </c>
      <c r="G51" s="3">
        <v>1</v>
      </c>
      <c r="H51" s="4">
        <v>950</v>
      </c>
      <c r="I51" s="9">
        <v>950</v>
      </c>
      <c r="J51" s="10" t="s">
        <v>11</v>
      </c>
      <c r="K51" s="7"/>
      <c r="L51" s="1"/>
      <c r="M51" s="8"/>
    </row>
    <row r="52" ht="30" customHeight="1">
      <c r="A52" s="1" t="s">
        <v>62</v>
      </c>
      <c r="B52" s="1" t="s">
        <v>13</v>
      </c>
      <c r="C52" s="1" t="s">
        <v>14</v>
      </c>
      <c r="D52" s="1" t="s">
        <v>15</v>
      </c>
      <c r="E52" s="1" t="s">
        <v>16</v>
      </c>
      <c r="F52" s="2" t="s">
        <v>17</v>
      </c>
      <c r="G52" s="3">
        <v>24</v>
      </c>
      <c r="H52" s="4">
        <v>79</v>
      </c>
      <c r="I52" s="5">
        <v>1896</v>
      </c>
      <c r="J52" s="6" t="s">
        <v>6</v>
      </c>
      <c r="K52" s="7" t="s">
        <v>18</v>
      </c>
      <c r="L52" s="1" t="s">
        <v>19</v>
      </c>
      <c r="M52" s="8">
        <v>45729.395833333336</v>
      </c>
    </row>
    <row r="53" ht="30" customHeight="1">
      <c r="A53" s="1"/>
      <c r="B53" s="1"/>
      <c r="C53" s="1"/>
      <c r="D53" s="1"/>
      <c r="E53" s="1" t="s">
        <v>20</v>
      </c>
      <c r="F53" s="2" t="s">
        <v>21</v>
      </c>
      <c r="G53" s="3">
        <v>2</v>
      </c>
      <c r="H53" s="4">
        <v>1250</v>
      </c>
      <c r="I53" s="5">
        <v>2500</v>
      </c>
      <c r="J53" s="6" t="s">
        <v>6</v>
      </c>
      <c r="K53" s="7"/>
      <c r="L53" s="1"/>
      <c r="M53" s="8"/>
    </row>
    <row r="54" ht="30" customHeight="1">
      <c r="A54" s="1"/>
      <c r="B54" s="1"/>
      <c r="C54" s="1"/>
      <c r="D54" s="1"/>
      <c r="E54" s="1" t="s">
        <v>22</v>
      </c>
      <c r="F54" s="2" t="s">
        <v>23</v>
      </c>
      <c r="G54" s="3">
        <v>1</v>
      </c>
      <c r="H54" s="4">
        <v>600</v>
      </c>
      <c r="I54" s="9">
        <v>600</v>
      </c>
      <c r="J54" s="10" t="s">
        <v>11</v>
      </c>
      <c r="K54" s="7"/>
      <c r="L54" s="1"/>
      <c r="M54" s="8"/>
    </row>
    <row r="55" ht="30" customHeight="1">
      <c r="A55" s="1" t="s">
        <v>63</v>
      </c>
      <c r="B55" s="1" t="s">
        <v>25</v>
      </c>
      <c r="C55" s="1" t="s">
        <v>26</v>
      </c>
      <c r="D55" s="1" t="s">
        <v>27</v>
      </c>
      <c r="E55" s="1" t="s">
        <v>28</v>
      </c>
      <c r="F55" s="2" t="s">
        <v>29</v>
      </c>
      <c r="G55" s="3">
        <v>5</v>
      </c>
      <c r="H55" s="4">
        <v>39</v>
      </c>
      <c r="I55" s="5">
        <v>195</v>
      </c>
      <c r="J55" s="6" t="s">
        <v>6</v>
      </c>
      <c r="K55" s="7" t="s">
        <v>30</v>
      </c>
      <c r="L55" s="1" t="s">
        <v>31</v>
      </c>
      <c r="M55" s="8">
        <v>45734.395833333336</v>
      </c>
    </row>
    <row r="56" ht="30" customHeight="1">
      <c r="A56" s="1" t="s">
        <v>64</v>
      </c>
      <c r="B56" s="1" t="s">
        <v>33</v>
      </c>
      <c r="C56" s="1" t="s">
        <v>2</v>
      </c>
      <c r="D56" s="1" t="s">
        <v>34</v>
      </c>
      <c r="E56" s="1" t="s">
        <v>35</v>
      </c>
      <c r="F56" s="2" t="s">
        <v>36</v>
      </c>
      <c r="G56" s="3">
        <v>14</v>
      </c>
      <c r="H56" s="4">
        <v>520</v>
      </c>
      <c r="I56" s="5">
        <v>7280</v>
      </c>
      <c r="J56" s="6" t="s">
        <v>6</v>
      </c>
      <c r="K56" s="7" t="s">
        <v>37</v>
      </c>
      <c r="L56" s="1" t="s">
        <v>38</v>
      </c>
      <c r="M56" s="8">
        <v>45740.395833333336</v>
      </c>
    </row>
    <row r="57" ht="30" customHeight="1">
      <c r="A57" s="1"/>
      <c r="B57" s="1"/>
      <c r="C57" s="1"/>
      <c r="D57" s="1"/>
      <c r="E57" s="1" t="s">
        <v>39</v>
      </c>
      <c r="F57" s="2" t="s">
        <v>40</v>
      </c>
      <c r="G57" s="3">
        <v>2</v>
      </c>
      <c r="H57" s="4">
        <v>2100</v>
      </c>
      <c r="I57" s="5">
        <v>4200</v>
      </c>
      <c r="J57" s="6" t="s">
        <v>6</v>
      </c>
      <c r="K57" s="7"/>
      <c r="L57" s="1"/>
      <c r="M57" s="8"/>
    </row>
    <row r="58" ht="30" customHeight="1">
      <c r="A58" s="1" t="s">
        <v>65</v>
      </c>
      <c r="B58" s="1" t="s">
        <v>1</v>
      </c>
      <c r="C58" s="1" t="s">
        <v>2</v>
      </c>
      <c r="D58" s="1" t="s">
        <v>3</v>
      </c>
      <c r="E58" s="1" t="s">
        <v>4</v>
      </c>
      <c r="F58" s="2" t="s">
        <v>5</v>
      </c>
      <c r="G58" s="3">
        <v>8</v>
      </c>
      <c r="H58" s="4">
        <v>1450</v>
      </c>
      <c r="I58" s="5">
        <v>11600</v>
      </c>
      <c r="J58" s="6" t="s">
        <v>6</v>
      </c>
      <c r="K58" s="7" t="s">
        <v>7</v>
      </c>
      <c r="L58" s="1" t="s">
        <v>8</v>
      </c>
      <c r="M58" s="8">
        <v>45726.395833333336</v>
      </c>
    </row>
    <row r="59" ht="30" customHeight="1">
      <c r="A59" s="1"/>
      <c r="B59" s="1"/>
      <c r="C59" s="1"/>
      <c r="D59" s="1"/>
      <c r="E59" s="1" t="s">
        <v>9</v>
      </c>
      <c r="F59" s="2" t="s">
        <v>10</v>
      </c>
      <c r="G59" s="3">
        <v>1</v>
      </c>
      <c r="H59" s="4">
        <v>950</v>
      </c>
      <c r="I59" s="9">
        <v>950</v>
      </c>
      <c r="J59" s="10" t="s">
        <v>11</v>
      </c>
      <c r="K59" s="7"/>
      <c r="L59" s="1"/>
      <c r="M59" s="8"/>
    </row>
    <row r="60" ht="30" customHeight="1">
      <c r="A60" s="1" t="s">
        <v>66</v>
      </c>
      <c r="B60" s="1" t="s">
        <v>13</v>
      </c>
      <c r="C60" s="1" t="s">
        <v>14</v>
      </c>
      <c r="D60" s="1" t="s">
        <v>15</v>
      </c>
      <c r="E60" s="1" t="s">
        <v>16</v>
      </c>
      <c r="F60" s="2" t="s">
        <v>17</v>
      </c>
      <c r="G60" s="3">
        <v>24</v>
      </c>
      <c r="H60" s="4">
        <v>79</v>
      </c>
      <c r="I60" s="5">
        <v>1896</v>
      </c>
      <c r="J60" s="6" t="s">
        <v>6</v>
      </c>
      <c r="K60" s="7" t="s">
        <v>18</v>
      </c>
      <c r="L60" s="1" t="s">
        <v>19</v>
      </c>
      <c r="M60" s="8">
        <v>45730.395833333336</v>
      </c>
    </row>
    <row r="61" ht="30" customHeight="1">
      <c r="A61" s="1"/>
      <c r="B61" s="1"/>
      <c r="C61" s="1"/>
      <c r="D61" s="1"/>
      <c r="E61" s="1" t="s">
        <v>20</v>
      </c>
      <c r="F61" s="2" t="s">
        <v>21</v>
      </c>
      <c r="G61" s="3">
        <v>2</v>
      </c>
      <c r="H61" s="4">
        <v>1250</v>
      </c>
      <c r="I61" s="5">
        <v>2500</v>
      </c>
      <c r="J61" s="6" t="s">
        <v>6</v>
      </c>
      <c r="K61" s="7"/>
      <c r="L61" s="1"/>
      <c r="M61" s="8"/>
    </row>
    <row r="62" ht="30" customHeight="1">
      <c r="A62" s="1"/>
      <c r="B62" s="1"/>
      <c r="C62" s="1"/>
      <c r="D62" s="1"/>
      <c r="E62" s="1" t="s">
        <v>22</v>
      </c>
      <c r="F62" s="2" t="s">
        <v>23</v>
      </c>
      <c r="G62" s="3">
        <v>1</v>
      </c>
      <c r="H62" s="4">
        <v>600</v>
      </c>
      <c r="I62" s="9">
        <v>600</v>
      </c>
      <c r="J62" s="10" t="s">
        <v>11</v>
      </c>
      <c r="K62" s="7"/>
      <c r="L62" s="1"/>
      <c r="M62" s="8"/>
    </row>
    <row r="63" ht="30" customHeight="1">
      <c r="A63" s="1" t="s">
        <v>67</v>
      </c>
      <c r="B63" s="1" t="s">
        <v>25</v>
      </c>
      <c r="C63" s="1" t="s">
        <v>26</v>
      </c>
      <c r="D63" s="1" t="s">
        <v>27</v>
      </c>
      <c r="E63" s="1" t="s">
        <v>28</v>
      </c>
      <c r="F63" s="2" t="s">
        <v>29</v>
      </c>
      <c r="G63" s="3">
        <v>5</v>
      </c>
      <c r="H63" s="4">
        <v>39</v>
      </c>
      <c r="I63" s="5">
        <v>195</v>
      </c>
      <c r="J63" s="6" t="s">
        <v>6</v>
      </c>
      <c r="K63" s="7" t="s">
        <v>30</v>
      </c>
      <c r="L63" s="1" t="s">
        <v>31</v>
      </c>
      <c r="M63" s="8">
        <v>45735.395833333336</v>
      </c>
    </row>
    <row r="64" ht="30" customHeight="1">
      <c r="A64" s="1" t="s">
        <v>68</v>
      </c>
      <c r="B64" s="1" t="s">
        <v>33</v>
      </c>
      <c r="C64" s="1" t="s">
        <v>2</v>
      </c>
      <c r="D64" s="1" t="s">
        <v>34</v>
      </c>
      <c r="E64" s="1" t="s">
        <v>35</v>
      </c>
      <c r="F64" s="2" t="s">
        <v>36</v>
      </c>
      <c r="G64" s="3">
        <v>14</v>
      </c>
      <c r="H64" s="4">
        <v>520</v>
      </c>
      <c r="I64" s="5">
        <v>7280</v>
      </c>
      <c r="J64" s="6" t="s">
        <v>6</v>
      </c>
      <c r="K64" s="7" t="s">
        <v>37</v>
      </c>
      <c r="L64" s="1" t="s">
        <v>38</v>
      </c>
      <c r="M64" s="8">
        <v>45741.395833333336</v>
      </c>
    </row>
    <row r="65" ht="30" customHeight="1">
      <c r="A65" s="1"/>
      <c r="B65" s="1"/>
      <c r="C65" s="1"/>
      <c r="D65" s="1"/>
      <c r="E65" s="1" t="s">
        <v>39</v>
      </c>
      <c r="F65" s="2" t="s">
        <v>40</v>
      </c>
      <c r="G65" s="3">
        <v>2</v>
      </c>
      <c r="H65" s="4">
        <v>2100</v>
      </c>
      <c r="I65" s="5">
        <v>4200</v>
      </c>
      <c r="J65" s="6" t="s">
        <v>6</v>
      </c>
      <c r="K65" s="7"/>
      <c r="L65" s="1"/>
      <c r="M65" s="8"/>
    </row>
    <row r="66" ht="30" customHeight="1">
      <c r="A66" s="19">
        <v>32</v>
      </c>
      <c r="G66" s="19">
        <v>456</v>
      </c>
      <c r="I66" s="22">
        <v>233768</v>
      </c>
    </row>
    <row r="69" ht="30" customHeight="1">
      <c r="A69" t="inlineStr" s="25">
        <is>
          <t>Order</t>
        </is>
      </c>
      <c r="B69" t="inlineStr" s="25">
        <is>
          <t>Customer</t>
        </is>
      </c>
      <c r="C69" t="inlineStr" s="25">
        <is>
          <t>Account</t>
        </is>
      </c>
      <c r="D69" t="inlineStr" s="25">
        <is>
          <t>SKU</t>
        </is>
      </c>
      <c r="E69" t="inlineStr" s="25">
        <is>
          <t>Description</t>
        </is>
      </c>
      <c r="F69" t="inlineStr" s="25">
        <is>
          <t>Qty</t>
        </is>
      </c>
      <c r="G69" t="inlineStr" s="25">
        <is>
          <t>Unit Price</t>
        </is>
      </c>
      <c r="H69" t="inlineStr" s="25">
        <is>
          <t>Line Total</t>
        </is>
      </c>
      <c r="I69" t="inlineStr" s="25">
        <is>
          <t>Fulfilled</t>
        </is>
      </c>
      <c r="J69" t="inlineStr" s="25">
        <is>
          <t>Notes</t>
        </is>
      </c>
      <c r="K69" t="inlineStr" s="25">
        <is>
          <t>Created</t>
        </is>
      </c>
    </row>
    <row r="70" ht="30" customHeight="1">
      <c r="A70" s="1" t="s">
        <v>0</v>
      </c>
      <c r="B70" s="1" t="s">
        <v>1</v>
      </c>
      <c r="C70" s="1" t="s">
        <v>2</v>
      </c>
      <c r="D70" s="1" t="s">
        <v>4</v>
      </c>
      <c r="E70" s="2" t="s">
        <v>5</v>
      </c>
      <c r="F70" s="3">
        <v>8</v>
      </c>
      <c r="G70" s="4">
        <v>1450</v>
      </c>
      <c r="H70" s="5">
        <v>11600</v>
      </c>
      <c r="I70" s="6" t="s">
        <v>6</v>
      </c>
      <c r="J70" s="7" t="s">
        <v>7</v>
      </c>
      <c r="K70" s="8">
        <v>45719.395833333336</v>
      </c>
    </row>
    <row r="71" ht="30" customHeight="1">
      <c r="A71" s="1"/>
      <c r="B71" s="1"/>
      <c r="C71" s="1"/>
      <c r="D71" s="1" t="s">
        <v>9</v>
      </c>
      <c r="E71" s="2" t="s">
        <v>10</v>
      </c>
      <c r="F71" s="3">
        <v>1</v>
      </c>
      <c r="G71" s="4">
        <v>950</v>
      </c>
      <c r="H71" s="9">
        <v>950</v>
      </c>
      <c r="I71" s="10" t="s">
        <v>11</v>
      </c>
      <c r="J71" s="7"/>
      <c r="K71" s="8"/>
    </row>
    <row r="72" ht="30" customHeight="1">
      <c r="A72" s="1" t="s">
        <v>12</v>
      </c>
      <c r="B72" s="1" t="s">
        <v>13</v>
      </c>
      <c r="C72" s="1" t="s">
        <v>14</v>
      </c>
      <c r="D72" s="1" t="s">
        <v>16</v>
      </c>
      <c r="E72" s="2" t="s">
        <v>17</v>
      </c>
      <c r="F72" s="3">
        <v>24</v>
      </c>
      <c r="G72" s="4">
        <v>79</v>
      </c>
      <c r="H72" s="5">
        <v>1896</v>
      </c>
      <c r="I72" s="6" t="s">
        <v>6</v>
      </c>
      <c r="J72" s="7" t="s">
        <v>18</v>
      </c>
      <c r="K72" s="8">
        <v>45723.395833333336</v>
      </c>
    </row>
    <row r="73" ht="30" customHeight="1">
      <c r="A73" s="1"/>
      <c r="B73" s="1"/>
      <c r="C73" s="1"/>
      <c r="D73" s="1" t="s">
        <v>20</v>
      </c>
      <c r="E73" s="2" t="s">
        <v>21</v>
      </c>
      <c r="F73" s="3">
        <v>2</v>
      </c>
      <c r="G73" s="4">
        <v>1250</v>
      </c>
      <c r="H73" s="5">
        <v>2500</v>
      </c>
      <c r="I73" s="6" t="s">
        <v>6</v>
      </c>
      <c r="J73" s="7"/>
      <c r="K73" s="8"/>
    </row>
    <row r="74" ht="30" customHeight="1">
      <c r="A74" s="1"/>
      <c r="B74" s="1"/>
      <c r="C74" s="1"/>
      <c r="D74" s="1" t="s">
        <v>22</v>
      </c>
      <c r="E74" s="2" t="s">
        <v>23</v>
      </c>
      <c r="F74" s="3">
        <v>1</v>
      </c>
      <c r="G74" s="4">
        <v>600</v>
      </c>
      <c r="H74" s="9">
        <v>600</v>
      </c>
      <c r="I74" s="10" t="s">
        <v>11</v>
      </c>
      <c r="J74" s="7"/>
      <c r="K74" s="8"/>
    </row>
    <row r="75" ht="30" customHeight="1">
      <c r="A75" s="1" t="s">
        <v>24</v>
      </c>
      <c r="B75" s="1" t="s">
        <v>25</v>
      </c>
      <c r="C75" s="1" t="s">
        <v>26</v>
      </c>
      <c r="D75" s="1" t="s">
        <v>28</v>
      </c>
      <c r="E75" s="2" t="s">
        <v>29</v>
      </c>
      <c r="F75" s="3">
        <v>5</v>
      </c>
      <c r="G75" s="4">
        <v>39</v>
      </c>
      <c r="H75" s="5">
        <v>195</v>
      </c>
      <c r="I75" s="6" t="s">
        <v>6</v>
      </c>
      <c r="J75" s="7" t="s">
        <v>30</v>
      </c>
      <c r="K75" s="8">
        <v>45728.395833333336</v>
      </c>
    </row>
    <row r="76" ht="30" customHeight="1">
      <c r="A76" s="1" t="s">
        <v>32</v>
      </c>
      <c r="B76" s="1" t="s">
        <v>33</v>
      </c>
      <c r="C76" s="1" t="s">
        <v>2</v>
      </c>
      <c r="D76" s="1" t="s">
        <v>35</v>
      </c>
      <c r="E76" s="2" t="s">
        <v>36</v>
      </c>
      <c r="F76" s="3">
        <v>14</v>
      </c>
      <c r="G76" s="4">
        <v>520</v>
      </c>
      <c r="H76" s="5">
        <v>7280</v>
      </c>
      <c r="I76" s="6" t="s">
        <v>6</v>
      </c>
      <c r="J76" s="7" t="s">
        <v>37</v>
      </c>
      <c r="K76" s="8">
        <v>45734.395833333336</v>
      </c>
    </row>
    <row r="77" ht="30" customHeight="1">
      <c r="A77" s="1"/>
      <c r="B77" s="1"/>
      <c r="C77" s="1"/>
      <c r="D77" s="1" t="s">
        <v>39</v>
      </c>
      <c r="E77" s="2" t="s">
        <v>40</v>
      </c>
      <c r="F77" s="3">
        <v>2</v>
      </c>
      <c r="G77" s="4">
        <v>2100</v>
      </c>
      <c r="H77" s="5">
        <v>4200</v>
      </c>
      <c r="I77" s="6" t="s">
        <v>6</v>
      </c>
      <c r="J77" s="7"/>
      <c r="K77" s="8"/>
    </row>
    <row r="78" ht="30" customHeight="1">
      <c r="A78" s="1" t="s">
        <v>41</v>
      </c>
      <c r="B78" s="1" t="s">
        <v>1</v>
      </c>
      <c r="C78" s="1" t="s">
        <v>2</v>
      </c>
      <c r="D78" s="1" t="s">
        <v>4</v>
      </c>
      <c r="E78" s="2" t="s">
        <v>5</v>
      </c>
      <c r="F78" s="3">
        <v>8</v>
      </c>
      <c r="G78" s="4">
        <v>1450</v>
      </c>
      <c r="H78" s="5">
        <v>11600</v>
      </c>
      <c r="I78" s="6" t="s">
        <v>6</v>
      </c>
      <c r="J78" s="7" t="s">
        <v>7</v>
      </c>
      <c r="K78" s="8">
        <v>45720.395833333336</v>
      </c>
    </row>
    <row r="79" ht="30" customHeight="1">
      <c r="A79" s="1"/>
      <c r="B79" s="1"/>
      <c r="C79" s="1"/>
      <c r="D79" s="1" t="s">
        <v>9</v>
      </c>
      <c r="E79" s="2" t="s">
        <v>10</v>
      </c>
      <c r="F79" s="3">
        <v>1</v>
      </c>
      <c r="G79" s="4">
        <v>950</v>
      </c>
      <c r="H79" s="9">
        <v>950</v>
      </c>
      <c r="I79" s="10" t="s">
        <v>11</v>
      </c>
      <c r="J79" s="7"/>
      <c r="K79" s="8"/>
    </row>
    <row r="80" ht="30" customHeight="1">
      <c r="A80" s="1" t="s">
        <v>42</v>
      </c>
      <c r="B80" s="1" t="s">
        <v>13</v>
      </c>
      <c r="C80" s="1" t="s">
        <v>14</v>
      </c>
      <c r="D80" s="1" t="s">
        <v>16</v>
      </c>
      <c r="E80" s="2" t="s">
        <v>17</v>
      </c>
      <c r="F80" s="3">
        <v>24</v>
      </c>
      <c r="G80" s="4">
        <v>79</v>
      </c>
      <c r="H80" s="5">
        <v>1896</v>
      </c>
      <c r="I80" s="6" t="s">
        <v>6</v>
      </c>
      <c r="J80" s="7" t="s">
        <v>18</v>
      </c>
      <c r="K80" s="8">
        <v>45724.395833333336</v>
      </c>
    </row>
    <row r="81" ht="30" customHeight="1">
      <c r="A81" s="1"/>
      <c r="B81" s="1"/>
      <c r="C81" s="1"/>
      <c r="D81" s="1" t="s">
        <v>20</v>
      </c>
      <c r="E81" s="2" t="s">
        <v>21</v>
      </c>
      <c r="F81" s="3">
        <v>2</v>
      </c>
      <c r="G81" s="4">
        <v>1250</v>
      </c>
      <c r="H81" s="5">
        <v>2500</v>
      </c>
      <c r="I81" s="6" t="s">
        <v>6</v>
      </c>
      <c r="J81" s="7"/>
      <c r="K81" s="8"/>
    </row>
    <row r="82" ht="30" customHeight="1">
      <c r="A82" s="1"/>
      <c r="B82" s="1"/>
      <c r="C82" s="1"/>
      <c r="D82" s="1" t="s">
        <v>22</v>
      </c>
      <c r="E82" s="2" t="s">
        <v>23</v>
      </c>
      <c r="F82" s="3">
        <v>1</v>
      </c>
      <c r="G82" s="4">
        <v>600</v>
      </c>
      <c r="H82" s="9">
        <v>600</v>
      </c>
      <c r="I82" s="10" t="s">
        <v>11</v>
      </c>
      <c r="J82" s="7"/>
      <c r="K82" s="8"/>
    </row>
    <row r="83" ht="30" customHeight="1">
      <c r="A83" s="1" t="s">
        <v>43</v>
      </c>
      <c r="B83" s="1" t="s">
        <v>25</v>
      </c>
      <c r="C83" s="1" t="s">
        <v>26</v>
      </c>
      <c r="D83" s="1" t="s">
        <v>28</v>
      </c>
      <c r="E83" s="2" t="s">
        <v>29</v>
      </c>
      <c r="F83" s="3">
        <v>5</v>
      </c>
      <c r="G83" s="4">
        <v>39</v>
      </c>
      <c r="H83" s="5">
        <v>195</v>
      </c>
      <c r="I83" s="6" t="s">
        <v>6</v>
      </c>
      <c r="J83" s="7" t="s">
        <v>30</v>
      </c>
      <c r="K83" s="8">
        <v>45729.395833333336</v>
      </c>
    </row>
    <row r="84" ht="30" customHeight="1">
      <c r="A84" s="1" t="s">
        <v>44</v>
      </c>
      <c r="B84" s="1" t="s">
        <v>33</v>
      </c>
      <c r="C84" s="1" t="s">
        <v>2</v>
      </c>
      <c r="D84" s="1" t="s">
        <v>35</v>
      </c>
      <c r="E84" s="2" t="s">
        <v>36</v>
      </c>
      <c r="F84" s="3">
        <v>14</v>
      </c>
      <c r="G84" s="4">
        <v>520</v>
      </c>
      <c r="H84" s="5">
        <v>7280</v>
      </c>
      <c r="I84" s="6" t="s">
        <v>6</v>
      </c>
      <c r="J84" s="7" t="s">
        <v>37</v>
      </c>
      <c r="K84" s="8">
        <v>45735.395833333336</v>
      </c>
    </row>
    <row r="85" ht="30" customHeight="1">
      <c r="A85" s="1"/>
      <c r="B85" s="1"/>
      <c r="C85" s="1"/>
      <c r="D85" s="1" t="s">
        <v>39</v>
      </c>
      <c r="E85" s="2" t="s">
        <v>40</v>
      </c>
      <c r="F85" s="3">
        <v>2</v>
      </c>
      <c r="G85" s="4">
        <v>2100</v>
      </c>
      <c r="H85" s="5">
        <v>4200</v>
      </c>
      <c r="I85" s="6" t="s">
        <v>6</v>
      </c>
      <c r="J85" s="7"/>
      <c r="K85" s="8"/>
    </row>
    <row r="86" ht="30" customHeight="1">
      <c r="A86" s="1" t="s">
        <v>45</v>
      </c>
      <c r="B86" s="1" t="s">
        <v>1</v>
      </c>
      <c r="C86" s="1" t="s">
        <v>2</v>
      </c>
      <c r="D86" s="1" t="s">
        <v>4</v>
      </c>
      <c r="E86" s="2" t="s">
        <v>5</v>
      </c>
      <c r="F86" s="3">
        <v>8</v>
      </c>
      <c r="G86" s="4">
        <v>1450</v>
      </c>
      <c r="H86" s="5">
        <v>11600</v>
      </c>
      <c r="I86" s="6" t="s">
        <v>6</v>
      </c>
      <c r="J86" s="7" t="s">
        <v>7</v>
      </c>
      <c r="K86" s="8">
        <v>45721.395833333336</v>
      </c>
    </row>
    <row r="87" ht="30" customHeight="1">
      <c r="A87" s="1"/>
      <c r="B87" s="1"/>
      <c r="C87" s="1"/>
      <c r="D87" s="1" t="s">
        <v>9</v>
      </c>
      <c r="E87" s="2" t="s">
        <v>10</v>
      </c>
      <c r="F87" s="3">
        <v>1</v>
      </c>
      <c r="G87" s="4">
        <v>950</v>
      </c>
      <c r="H87" s="9">
        <v>950</v>
      </c>
      <c r="I87" s="10" t="s">
        <v>11</v>
      </c>
      <c r="J87" s="7"/>
      <c r="K87" s="8"/>
    </row>
    <row r="88" ht="30" customHeight="1">
      <c r="A88" s="1" t="s">
        <v>46</v>
      </c>
      <c r="B88" s="1" t="s">
        <v>13</v>
      </c>
      <c r="C88" s="1" t="s">
        <v>14</v>
      </c>
      <c r="D88" s="1" t="s">
        <v>16</v>
      </c>
      <c r="E88" s="2" t="s">
        <v>17</v>
      </c>
      <c r="F88" s="3">
        <v>24</v>
      </c>
      <c r="G88" s="4">
        <v>79</v>
      </c>
      <c r="H88" s="5">
        <v>1896</v>
      </c>
      <c r="I88" s="6" t="s">
        <v>6</v>
      </c>
      <c r="J88" s="7" t="s">
        <v>18</v>
      </c>
      <c r="K88" s="8">
        <v>45725.395833333336</v>
      </c>
    </row>
    <row r="89" ht="30" customHeight="1">
      <c r="A89" s="1"/>
      <c r="B89" s="1"/>
      <c r="C89" s="1"/>
      <c r="D89" s="1" t="s">
        <v>20</v>
      </c>
      <c r="E89" s="2" t="s">
        <v>21</v>
      </c>
      <c r="F89" s="3">
        <v>2</v>
      </c>
      <c r="G89" s="4">
        <v>1250</v>
      </c>
      <c r="H89" s="5">
        <v>2500</v>
      </c>
      <c r="I89" s="6" t="s">
        <v>6</v>
      </c>
      <c r="J89" s="7"/>
      <c r="K89" s="8"/>
    </row>
    <row r="90" ht="30" customHeight="1">
      <c r="A90" s="1"/>
      <c r="B90" s="1"/>
      <c r="C90" s="1"/>
      <c r="D90" s="1" t="s">
        <v>22</v>
      </c>
      <c r="E90" s="2" t="s">
        <v>23</v>
      </c>
      <c r="F90" s="3">
        <v>1</v>
      </c>
      <c r="G90" s="4">
        <v>600</v>
      </c>
      <c r="H90" s="9">
        <v>600</v>
      </c>
      <c r="I90" s="10" t="s">
        <v>11</v>
      </c>
      <c r="J90" s="7"/>
      <c r="K90" s="8"/>
    </row>
    <row r="91" ht="30" customHeight="1">
      <c r="A91" s="1" t="s">
        <v>47</v>
      </c>
      <c r="B91" s="1" t="s">
        <v>25</v>
      </c>
      <c r="C91" s="1" t="s">
        <v>26</v>
      </c>
      <c r="D91" s="1" t="s">
        <v>28</v>
      </c>
      <c r="E91" s="2" t="s">
        <v>29</v>
      </c>
      <c r="F91" s="3">
        <v>5</v>
      </c>
      <c r="G91" s="4">
        <v>39</v>
      </c>
      <c r="H91" s="5">
        <v>195</v>
      </c>
      <c r="I91" s="6" t="s">
        <v>6</v>
      </c>
      <c r="J91" s="7" t="s">
        <v>30</v>
      </c>
      <c r="K91" s="8">
        <v>45730.395833333336</v>
      </c>
    </row>
    <row r="92" ht="30" customHeight="1">
      <c r="A92" s="1" t="s">
        <v>48</v>
      </c>
      <c r="B92" s="1" t="s">
        <v>33</v>
      </c>
      <c r="C92" s="1" t="s">
        <v>2</v>
      </c>
      <c r="D92" s="1" t="s">
        <v>35</v>
      </c>
      <c r="E92" s="2" t="s">
        <v>36</v>
      </c>
      <c r="F92" s="3">
        <v>14</v>
      </c>
      <c r="G92" s="4">
        <v>520</v>
      </c>
      <c r="H92" s="5">
        <v>7280</v>
      </c>
      <c r="I92" s="6" t="s">
        <v>6</v>
      </c>
      <c r="J92" s="7" t="s">
        <v>37</v>
      </c>
      <c r="K92" s="8">
        <v>45736.395833333336</v>
      </c>
    </row>
    <row r="93" ht="30" customHeight="1">
      <c r="A93" s="1"/>
      <c r="B93" s="1"/>
      <c r="C93" s="1"/>
      <c r="D93" s="1" t="s">
        <v>39</v>
      </c>
      <c r="E93" s="2" t="s">
        <v>40</v>
      </c>
      <c r="F93" s="3">
        <v>2</v>
      </c>
      <c r="G93" s="4">
        <v>2100</v>
      </c>
      <c r="H93" s="5">
        <v>4200</v>
      </c>
      <c r="I93" s="6" t="s">
        <v>6</v>
      </c>
      <c r="J93" s="7"/>
      <c r="K93" s="8"/>
    </row>
    <row r="94" ht="30" customHeight="1">
      <c r="A94" s="1" t="s">
        <v>49</v>
      </c>
      <c r="B94" s="1" t="s">
        <v>1</v>
      </c>
      <c r="C94" s="1" t="s">
        <v>2</v>
      </c>
      <c r="D94" s="1" t="s">
        <v>4</v>
      </c>
      <c r="E94" s="2" t="s">
        <v>5</v>
      </c>
      <c r="F94" s="3">
        <v>8</v>
      </c>
      <c r="G94" s="4">
        <v>1450</v>
      </c>
      <c r="H94" s="5">
        <v>11600</v>
      </c>
      <c r="I94" s="6" t="s">
        <v>6</v>
      </c>
      <c r="J94" s="7" t="s">
        <v>7</v>
      </c>
      <c r="K94" s="8">
        <v>45722.395833333336</v>
      </c>
    </row>
    <row r="95" ht="30" customHeight="1">
      <c r="A95" s="1"/>
      <c r="B95" s="1"/>
      <c r="C95" s="1"/>
      <c r="D95" s="1" t="s">
        <v>9</v>
      </c>
      <c r="E95" s="2" t="s">
        <v>10</v>
      </c>
      <c r="F95" s="3">
        <v>1</v>
      </c>
      <c r="G95" s="4">
        <v>950</v>
      </c>
      <c r="H95" s="9">
        <v>950</v>
      </c>
      <c r="I95" s="10" t="s">
        <v>11</v>
      </c>
      <c r="J95" s="7"/>
      <c r="K95" s="8"/>
    </row>
    <row r="96" ht="30" customHeight="1">
      <c r="A96" s="1" t="s">
        <v>50</v>
      </c>
      <c r="B96" s="1" t="s">
        <v>13</v>
      </c>
      <c r="C96" s="1" t="s">
        <v>14</v>
      </c>
      <c r="D96" s="1" t="s">
        <v>16</v>
      </c>
      <c r="E96" s="2" t="s">
        <v>17</v>
      </c>
      <c r="F96" s="3">
        <v>24</v>
      </c>
      <c r="G96" s="4">
        <v>79</v>
      </c>
      <c r="H96" s="5">
        <v>1896</v>
      </c>
      <c r="I96" s="6" t="s">
        <v>6</v>
      </c>
      <c r="J96" s="7" t="s">
        <v>18</v>
      </c>
      <c r="K96" s="8">
        <v>45726.395833333336</v>
      </c>
    </row>
    <row r="97" ht="30" customHeight="1">
      <c r="A97" s="1"/>
      <c r="B97" s="1"/>
      <c r="C97" s="1"/>
      <c r="D97" s="1" t="s">
        <v>20</v>
      </c>
      <c r="E97" s="2" t="s">
        <v>21</v>
      </c>
      <c r="F97" s="3">
        <v>2</v>
      </c>
      <c r="G97" s="4">
        <v>1250</v>
      </c>
      <c r="H97" s="5">
        <v>2500</v>
      </c>
      <c r="I97" s="6" t="s">
        <v>6</v>
      </c>
      <c r="J97" s="7"/>
      <c r="K97" s="8"/>
    </row>
    <row r="98" ht="30" customHeight="1">
      <c r="A98" s="1"/>
      <c r="B98" s="1"/>
      <c r="C98" s="1"/>
      <c r="D98" s="1" t="s">
        <v>22</v>
      </c>
      <c r="E98" s="2" t="s">
        <v>23</v>
      </c>
      <c r="F98" s="3">
        <v>1</v>
      </c>
      <c r="G98" s="4">
        <v>600</v>
      </c>
      <c r="H98" s="9">
        <v>600</v>
      </c>
      <c r="I98" s="10" t="s">
        <v>11</v>
      </c>
      <c r="J98" s="7"/>
      <c r="K98" s="8"/>
    </row>
    <row r="99" ht="30" customHeight="1">
      <c r="A99" s="1" t="s">
        <v>51</v>
      </c>
      <c r="B99" s="1" t="s">
        <v>25</v>
      </c>
      <c r="C99" s="1" t="s">
        <v>26</v>
      </c>
      <c r="D99" s="1" t="s">
        <v>28</v>
      </c>
      <c r="E99" s="2" t="s">
        <v>29</v>
      </c>
      <c r="F99" s="3">
        <v>5</v>
      </c>
      <c r="G99" s="4">
        <v>39</v>
      </c>
      <c r="H99" s="5">
        <v>195</v>
      </c>
      <c r="I99" s="6" t="s">
        <v>6</v>
      </c>
      <c r="J99" s="7" t="s">
        <v>30</v>
      </c>
      <c r="K99" s="8">
        <v>45731.395833333336</v>
      </c>
    </row>
    <row r="100" ht="30" customHeight="1">
      <c r="A100" s="1" t="s">
        <v>52</v>
      </c>
      <c r="B100" s="1" t="s">
        <v>33</v>
      </c>
      <c r="C100" s="1" t="s">
        <v>2</v>
      </c>
      <c r="D100" s="1" t="s">
        <v>35</v>
      </c>
      <c r="E100" s="2" t="s">
        <v>36</v>
      </c>
      <c r="F100" s="3">
        <v>14</v>
      </c>
      <c r="G100" s="4">
        <v>520</v>
      </c>
      <c r="H100" s="5">
        <v>7280</v>
      </c>
      <c r="I100" s="6" t="s">
        <v>6</v>
      </c>
      <c r="J100" s="7" t="s">
        <v>37</v>
      </c>
      <c r="K100" s="8">
        <v>45737.395833333336</v>
      </c>
    </row>
    <row r="101" ht="30" customHeight="1">
      <c r="A101" s="1"/>
      <c r="B101" s="1"/>
      <c r="C101" s="1"/>
      <c r="D101" s="1" t="s">
        <v>39</v>
      </c>
      <c r="E101" s="2" t="s">
        <v>40</v>
      </c>
      <c r="F101" s="3">
        <v>2</v>
      </c>
      <c r="G101" s="4">
        <v>2100</v>
      </c>
      <c r="H101" s="5">
        <v>4200</v>
      </c>
      <c r="I101" s="6" t="s">
        <v>6</v>
      </c>
      <c r="J101" s="7"/>
      <c r="K101" s="8"/>
    </row>
    <row r="102" ht="30" customHeight="1">
      <c r="A102" s="1" t="s">
        <v>53</v>
      </c>
      <c r="B102" s="1" t="s">
        <v>1</v>
      </c>
      <c r="C102" s="1" t="s">
        <v>2</v>
      </c>
      <c r="D102" s="1" t="s">
        <v>4</v>
      </c>
      <c r="E102" s="2" t="s">
        <v>5</v>
      </c>
      <c r="F102" s="3">
        <v>8</v>
      </c>
      <c r="G102" s="4">
        <v>1450</v>
      </c>
      <c r="H102" s="5">
        <v>11600</v>
      </c>
      <c r="I102" s="6" t="s">
        <v>6</v>
      </c>
      <c r="J102" s="7" t="s">
        <v>7</v>
      </c>
      <c r="K102" s="8">
        <v>45723.395833333336</v>
      </c>
    </row>
    <row r="103" ht="30" customHeight="1">
      <c r="A103" s="1"/>
      <c r="B103" s="1"/>
      <c r="C103" s="1"/>
      <c r="D103" s="1" t="s">
        <v>9</v>
      </c>
      <c r="E103" s="2" t="s">
        <v>10</v>
      </c>
      <c r="F103" s="3">
        <v>1</v>
      </c>
      <c r="G103" s="4">
        <v>950</v>
      </c>
      <c r="H103" s="9">
        <v>950</v>
      </c>
      <c r="I103" s="10" t="s">
        <v>11</v>
      </c>
      <c r="J103" s="7"/>
      <c r="K103" s="8"/>
    </row>
    <row r="104" ht="30" customHeight="1">
      <c r="A104" s="1" t="s">
        <v>54</v>
      </c>
      <c r="B104" s="1" t="s">
        <v>13</v>
      </c>
      <c r="C104" s="1" t="s">
        <v>14</v>
      </c>
      <c r="D104" s="1" t="s">
        <v>16</v>
      </c>
      <c r="E104" s="2" t="s">
        <v>17</v>
      </c>
      <c r="F104" s="3">
        <v>24</v>
      </c>
      <c r="G104" s="4">
        <v>79</v>
      </c>
      <c r="H104" s="5">
        <v>1896</v>
      </c>
      <c r="I104" s="6" t="s">
        <v>6</v>
      </c>
      <c r="J104" s="7" t="s">
        <v>18</v>
      </c>
      <c r="K104" s="8">
        <v>45727.395833333336</v>
      </c>
    </row>
    <row r="105" ht="30" customHeight="1">
      <c r="A105" s="1"/>
      <c r="B105" s="1"/>
      <c r="C105" s="1"/>
      <c r="D105" s="1" t="s">
        <v>20</v>
      </c>
      <c r="E105" s="2" t="s">
        <v>21</v>
      </c>
      <c r="F105" s="3">
        <v>2</v>
      </c>
      <c r="G105" s="4">
        <v>1250</v>
      </c>
      <c r="H105" s="5">
        <v>2500</v>
      </c>
      <c r="I105" s="6" t="s">
        <v>6</v>
      </c>
      <c r="J105" s="7"/>
      <c r="K105" s="8"/>
    </row>
    <row r="106" ht="30" customHeight="1">
      <c r="A106" s="1"/>
      <c r="B106" s="1"/>
      <c r="C106" s="1"/>
      <c r="D106" s="1" t="s">
        <v>22</v>
      </c>
      <c r="E106" s="2" t="s">
        <v>23</v>
      </c>
      <c r="F106" s="3">
        <v>1</v>
      </c>
      <c r="G106" s="4">
        <v>600</v>
      </c>
      <c r="H106" s="9">
        <v>600</v>
      </c>
      <c r="I106" s="10" t="s">
        <v>11</v>
      </c>
      <c r="J106" s="7"/>
      <c r="K106" s="8"/>
    </row>
    <row r="107" ht="30" customHeight="1">
      <c r="A107" s="1" t="s">
        <v>55</v>
      </c>
      <c r="B107" s="1" t="s">
        <v>25</v>
      </c>
      <c r="C107" s="1" t="s">
        <v>26</v>
      </c>
      <c r="D107" s="1" t="s">
        <v>28</v>
      </c>
      <c r="E107" s="2" t="s">
        <v>29</v>
      </c>
      <c r="F107" s="3">
        <v>5</v>
      </c>
      <c r="G107" s="4">
        <v>39</v>
      </c>
      <c r="H107" s="5">
        <v>195</v>
      </c>
      <c r="I107" s="6" t="s">
        <v>6</v>
      </c>
      <c r="J107" s="7" t="s">
        <v>30</v>
      </c>
      <c r="K107" s="8">
        <v>45732.395833333336</v>
      </c>
    </row>
    <row r="108" ht="30" customHeight="1">
      <c r="A108" s="1" t="s">
        <v>56</v>
      </c>
      <c r="B108" s="1" t="s">
        <v>33</v>
      </c>
      <c r="C108" s="1" t="s">
        <v>2</v>
      </c>
      <c r="D108" s="1" t="s">
        <v>35</v>
      </c>
      <c r="E108" s="2" t="s">
        <v>36</v>
      </c>
      <c r="F108" s="3">
        <v>14</v>
      </c>
      <c r="G108" s="4">
        <v>520</v>
      </c>
      <c r="H108" s="5">
        <v>7280</v>
      </c>
      <c r="I108" s="6" t="s">
        <v>6</v>
      </c>
      <c r="J108" s="7" t="s">
        <v>37</v>
      </c>
      <c r="K108" s="8">
        <v>45738.395833333336</v>
      </c>
    </row>
    <row r="109" ht="30" customHeight="1">
      <c r="A109" s="1"/>
      <c r="B109" s="1"/>
      <c r="C109" s="1"/>
      <c r="D109" s="1" t="s">
        <v>39</v>
      </c>
      <c r="E109" s="2" t="s">
        <v>40</v>
      </c>
      <c r="F109" s="3">
        <v>2</v>
      </c>
      <c r="G109" s="4">
        <v>2100</v>
      </c>
      <c r="H109" s="5">
        <v>4200</v>
      </c>
      <c r="I109" s="6" t="s">
        <v>6</v>
      </c>
      <c r="J109" s="7"/>
      <c r="K109" s="8"/>
    </row>
    <row r="110" ht="30" customHeight="1">
      <c r="A110" s="1" t="s">
        <v>57</v>
      </c>
      <c r="B110" s="1" t="s">
        <v>1</v>
      </c>
      <c r="C110" s="1" t="s">
        <v>2</v>
      </c>
      <c r="D110" s="1" t="s">
        <v>4</v>
      </c>
      <c r="E110" s="2" t="s">
        <v>5</v>
      </c>
      <c r="F110" s="3">
        <v>8</v>
      </c>
      <c r="G110" s="4">
        <v>1450</v>
      </c>
      <c r="H110" s="5">
        <v>11600</v>
      </c>
      <c r="I110" s="6" t="s">
        <v>6</v>
      </c>
      <c r="J110" s="7" t="s">
        <v>7</v>
      </c>
      <c r="K110" s="8">
        <v>45724.395833333336</v>
      </c>
    </row>
    <row r="111" ht="30" customHeight="1">
      <c r="A111" s="1"/>
      <c r="B111" s="1"/>
      <c r="C111" s="1"/>
      <c r="D111" s="1" t="s">
        <v>9</v>
      </c>
      <c r="E111" s="2" t="s">
        <v>10</v>
      </c>
      <c r="F111" s="3">
        <v>1</v>
      </c>
      <c r="G111" s="4">
        <v>950</v>
      </c>
      <c r="H111" s="9">
        <v>950</v>
      </c>
      <c r="I111" s="10" t="s">
        <v>11</v>
      </c>
      <c r="J111" s="7"/>
      <c r="K111" s="8"/>
    </row>
    <row r="112" ht="30" customHeight="1">
      <c r="A112" s="1" t="s">
        <v>58</v>
      </c>
      <c r="B112" s="1" t="s">
        <v>13</v>
      </c>
      <c r="C112" s="1" t="s">
        <v>14</v>
      </c>
      <c r="D112" s="1" t="s">
        <v>16</v>
      </c>
      <c r="E112" s="2" t="s">
        <v>17</v>
      </c>
      <c r="F112" s="3">
        <v>24</v>
      </c>
      <c r="G112" s="4">
        <v>79</v>
      </c>
      <c r="H112" s="5">
        <v>1896</v>
      </c>
      <c r="I112" s="6" t="s">
        <v>6</v>
      </c>
      <c r="J112" s="7" t="s">
        <v>18</v>
      </c>
      <c r="K112" s="8">
        <v>45728.395833333336</v>
      </c>
    </row>
    <row r="113" ht="30" customHeight="1">
      <c r="A113" s="1"/>
      <c r="B113" s="1"/>
      <c r="C113" s="1"/>
      <c r="D113" s="1" t="s">
        <v>20</v>
      </c>
      <c r="E113" s="2" t="s">
        <v>21</v>
      </c>
      <c r="F113" s="3">
        <v>2</v>
      </c>
      <c r="G113" s="4">
        <v>1250</v>
      </c>
      <c r="H113" s="5">
        <v>2500</v>
      </c>
      <c r="I113" s="6" t="s">
        <v>6</v>
      </c>
      <c r="J113" s="7"/>
      <c r="K113" s="8"/>
    </row>
    <row r="114" ht="30" customHeight="1">
      <c r="A114" s="1"/>
      <c r="B114" s="1"/>
      <c r="C114" s="1"/>
      <c r="D114" s="1" t="s">
        <v>22</v>
      </c>
      <c r="E114" s="2" t="s">
        <v>23</v>
      </c>
      <c r="F114" s="3">
        <v>1</v>
      </c>
      <c r="G114" s="4">
        <v>600</v>
      </c>
      <c r="H114" s="9">
        <v>600</v>
      </c>
      <c r="I114" s="10" t="s">
        <v>11</v>
      </c>
      <c r="J114" s="7"/>
      <c r="K114" s="8"/>
    </row>
    <row r="115" ht="30" customHeight="1">
      <c r="A115" s="1" t="s">
        <v>59</v>
      </c>
      <c r="B115" s="1" t="s">
        <v>25</v>
      </c>
      <c r="C115" s="1" t="s">
        <v>26</v>
      </c>
      <c r="D115" s="1" t="s">
        <v>28</v>
      </c>
      <c r="E115" s="2" t="s">
        <v>29</v>
      </c>
      <c r="F115" s="3">
        <v>5</v>
      </c>
      <c r="G115" s="4">
        <v>39</v>
      </c>
      <c r="H115" s="5">
        <v>195</v>
      </c>
      <c r="I115" s="6" t="s">
        <v>6</v>
      </c>
      <c r="J115" s="7" t="s">
        <v>30</v>
      </c>
      <c r="K115" s="8">
        <v>45733.395833333336</v>
      </c>
    </row>
    <row r="116" ht="30" customHeight="1">
      <c r="A116" s="1" t="s">
        <v>60</v>
      </c>
      <c r="B116" s="1" t="s">
        <v>33</v>
      </c>
      <c r="C116" s="1" t="s">
        <v>2</v>
      </c>
      <c r="D116" s="1" t="s">
        <v>35</v>
      </c>
      <c r="E116" s="2" t="s">
        <v>36</v>
      </c>
      <c r="F116" s="3">
        <v>14</v>
      </c>
      <c r="G116" s="4">
        <v>520</v>
      </c>
      <c r="H116" s="5">
        <v>7280</v>
      </c>
      <c r="I116" s="6" t="s">
        <v>6</v>
      </c>
      <c r="J116" s="7" t="s">
        <v>37</v>
      </c>
      <c r="K116" s="8">
        <v>45739.395833333336</v>
      </c>
    </row>
    <row r="117" ht="30" customHeight="1">
      <c r="A117" s="1"/>
      <c r="B117" s="1"/>
      <c r="C117" s="1"/>
      <c r="D117" s="1" t="s">
        <v>39</v>
      </c>
      <c r="E117" s="2" t="s">
        <v>40</v>
      </c>
      <c r="F117" s="3">
        <v>2</v>
      </c>
      <c r="G117" s="4">
        <v>2100</v>
      </c>
      <c r="H117" s="5">
        <v>4200</v>
      </c>
      <c r="I117" s="6" t="s">
        <v>6</v>
      </c>
      <c r="J117" s="7"/>
      <c r="K117" s="8"/>
    </row>
    <row r="118" ht="30" customHeight="1">
      <c r="A118" s="1" t="s">
        <v>61</v>
      </c>
      <c r="B118" s="1" t="s">
        <v>1</v>
      </c>
      <c r="C118" s="1" t="s">
        <v>2</v>
      </c>
      <c r="D118" s="1" t="s">
        <v>4</v>
      </c>
      <c r="E118" s="2" t="s">
        <v>5</v>
      </c>
      <c r="F118" s="3">
        <v>8</v>
      </c>
      <c r="G118" s="4">
        <v>1450</v>
      </c>
      <c r="H118" s="5">
        <v>11600</v>
      </c>
      <c r="I118" s="6" t="s">
        <v>6</v>
      </c>
      <c r="J118" s="7" t="s">
        <v>7</v>
      </c>
      <c r="K118" s="8">
        <v>45725.395833333336</v>
      </c>
    </row>
    <row r="119" ht="30" customHeight="1">
      <c r="A119" s="1"/>
      <c r="B119" s="1"/>
      <c r="C119" s="1"/>
      <c r="D119" s="1" t="s">
        <v>9</v>
      </c>
      <c r="E119" s="2" t="s">
        <v>10</v>
      </c>
      <c r="F119" s="3">
        <v>1</v>
      </c>
      <c r="G119" s="4">
        <v>950</v>
      </c>
      <c r="H119" s="9">
        <v>950</v>
      </c>
      <c r="I119" s="10" t="s">
        <v>11</v>
      </c>
      <c r="J119" s="7"/>
      <c r="K119" s="8"/>
    </row>
    <row r="120" ht="30" customHeight="1">
      <c r="A120" s="1" t="s">
        <v>62</v>
      </c>
      <c r="B120" s="1" t="s">
        <v>13</v>
      </c>
      <c r="C120" s="1" t="s">
        <v>14</v>
      </c>
      <c r="D120" s="1" t="s">
        <v>16</v>
      </c>
      <c r="E120" s="2" t="s">
        <v>17</v>
      </c>
      <c r="F120" s="3">
        <v>24</v>
      </c>
      <c r="G120" s="4">
        <v>79</v>
      </c>
      <c r="H120" s="5">
        <v>1896</v>
      </c>
      <c r="I120" s="6" t="s">
        <v>6</v>
      </c>
      <c r="J120" s="7" t="s">
        <v>18</v>
      </c>
      <c r="K120" s="8">
        <v>45729.395833333336</v>
      </c>
    </row>
    <row r="121" ht="30" customHeight="1">
      <c r="A121" s="1"/>
      <c r="B121" s="1"/>
      <c r="C121" s="1"/>
      <c r="D121" s="1" t="s">
        <v>20</v>
      </c>
      <c r="E121" s="2" t="s">
        <v>21</v>
      </c>
      <c r="F121" s="3">
        <v>2</v>
      </c>
      <c r="G121" s="4">
        <v>1250</v>
      </c>
      <c r="H121" s="5">
        <v>2500</v>
      </c>
      <c r="I121" s="6" t="s">
        <v>6</v>
      </c>
      <c r="J121" s="7"/>
      <c r="K121" s="8"/>
    </row>
    <row r="122" ht="30" customHeight="1">
      <c r="A122" s="1"/>
      <c r="B122" s="1"/>
      <c r="C122" s="1"/>
      <c r="D122" s="1" t="s">
        <v>22</v>
      </c>
      <c r="E122" s="2" t="s">
        <v>23</v>
      </c>
      <c r="F122" s="3">
        <v>1</v>
      </c>
      <c r="G122" s="4">
        <v>600</v>
      </c>
      <c r="H122" s="9">
        <v>600</v>
      </c>
      <c r="I122" s="10" t="s">
        <v>11</v>
      </c>
      <c r="J122" s="7"/>
      <c r="K122" s="8"/>
    </row>
    <row r="123" ht="30" customHeight="1">
      <c r="A123" s="1" t="s">
        <v>63</v>
      </c>
      <c r="B123" s="1" t="s">
        <v>25</v>
      </c>
      <c r="C123" s="1" t="s">
        <v>26</v>
      </c>
      <c r="D123" s="1" t="s">
        <v>28</v>
      </c>
      <c r="E123" s="2" t="s">
        <v>29</v>
      </c>
      <c r="F123" s="3">
        <v>5</v>
      </c>
      <c r="G123" s="4">
        <v>39</v>
      </c>
      <c r="H123" s="5">
        <v>195</v>
      </c>
      <c r="I123" s="6" t="s">
        <v>6</v>
      </c>
      <c r="J123" s="7" t="s">
        <v>30</v>
      </c>
      <c r="K123" s="8">
        <v>45734.395833333336</v>
      </c>
    </row>
    <row r="124" ht="30" customHeight="1">
      <c r="A124" s="1" t="s">
        <v>64</v>
      </c>
      <c r="B124" s="1" t="s">
        <v>33</v>
      </c>
      <c r="C124" s="1" t="s">
        <v>2</v>
      </c>
      <c r="D124" s="1" t="s">
        <v>35</v>
      </c>
      <c r="E124" s="2" t="s">
        <v>36</v>
      </c>
      <c r="F124" s="3">
        <v>14</v>
      </c>
      <c r="G124" s="4">
        <v>520</v>
      </c>
      <c r="H124" s="5">
        <v>7280</v>
      </c>
      <c r="I124" s="6" t="s">
        <v>6</v>
      </c>
      <c r="J124" s="7" t="s">
        <v>37</v>
      </c>
      <c r="K124" s="8">
        <v>45740.395833333336</v>
      </c>
    </row>
    <row r="125" ht="30" customHeight="1">
      <c r="A125" s="1"/>
      <c r="B125" s="1"/>
      <c r="C125" s="1"/>
      <c r="D125" s="1" t="s">
        <v>39</v>
      </c>
      <c r="E125" s="2" t="s">
        <v>40</v>
      </c>
      <c r="F125" s="3">
        <v>2</v>
      </c>
      <c r="G125" s="4">
        <v>2100</v>
      </c>
      <c r="H125" s="5">
        <v>4200</v>
      </c>
      <c r="I125" s="6" t="s">
        <v>6</v>
      </c>
      <c r="J125" s="7"/>
      <c r="K125" s="8"/>
    </row>
    <row r="126" ht="30" customHeight="1">
      <c r="A126" s="1" t="s">
        <v>65</v>
      </c>
      <c r="B126" s="1" t="s">
        <v>1</v>
      </c>
      <c r="C126" s="1" t="s">
        <v>2</v>
      </c>
      <c r="D126" s="1" t="s">
        <v>4</v>
      </c>
      <c r="E126" s="2" t="s">
        <v>5</v>
      </c>
      <c r="F126" s="3">
        <v>8</v>
      </c>
      <c r="G126" s="4">
        <v>1450</v>
      </c>
      <c r="H126" s="5">
        <v>11600</v>
      </c>
      <c r="I126" s="6" t="s">
        <v>6</v>
      </c>
      <c r="J126" s="7" t="s">
        <v>7</v>
      </c>
      <c r="K126" s="8">
        <v>45726.395833333336</v>
      </c>
    </row>
    <row r="127" ht="30" customHeight="1">
      <c r="A127" s="1"/>
      <c r="B127" s="1"/>
      <c r="C127" s="1"/>
      <c r="D127" s="1" t="s">
        <v>9</v>
      </c>
      <c r="E127" s="2" t="s">
        <v>10</v>
      </c>
      <c r="F127" s="3">
        <v>1</v>
      </c>
      <c r="G127" s="4">
        <v>950</v>
      </c>
      <c r="H127" s="9">
        <v>950</v>
      </c>
      <c r="I127" s="10" t="s">
        <v>11</v>
      </c>
      <c r="J127" s="7"/>
      <c r="K127" s="8"/>
    </row>
    <row r="128" ht="30" customHeight="1">
      <c r="A128" s="1" t="s">
        <v>66</v>
      </c>
      <c r="B128" s="1" t="s">
        <v>13</v>
      </c>
      <c r="C128" s="1" t="s">
        <v>14</v>
      </c>
      <c r="D128" s="1" t="s">
        <v>16</v>
      </c>
      <c r="E128" s="2" t="s">
        <v>17</v>
      </c>
      <c r="F128" s="3">
        <v>24</v>
      </c>
      <c r="G128" s="4">
        <v>79</v>
      </c>
      <c r="H128" s="5">
        <v>1896</v>
      </c>
      <c r="I128" s="6" t="s">
        <v>6</v>
      </c>
      <c r="J128" s="7" t="s">
        <v>18</v>
      </c>
      <c r="K128" s="8">
        <v>45730.395833333336</v>
      </c>
    </row>
    <row r="129" ht="30" customHeight="1">
      <c r="A129" s="1"/>
      <c r="B129" s="1"/>
      <c r="C129" s="1"/>
      <c r="D129" s="1" t="s">
        <v>20</v>
      </c>
      <c r="E129" s="2" t="s">
        <v>21</v>
      </c>
      <c r="F129" s="3">
        <v>2</v>
      </c>
      <c r="G129" s="4">
        <v>1250</v>
      </c>
      <c r="H129" s="5">
        <v>2500</v>
      </c>
      <c r="I129" s="6" t="s">
        <v>6</v>
      </c>
      <c r="J129" s="7"/>
      <c r="K129" s="8"/>
    </row>
    <row r="130" ht="30" customHeight="1">
      <c r="A130" s="1"/>
      <c r="B130" s="1"/>
      <c r="C130" s="1"/>
      <c r="D130" s="1" t="s">
        <v>22</v>
      </c>
      <c r="E130" s="2" t="s">
        <v>23</v>
      </c>
      <c r="F130" s="3">
        <v>1</v>
      </c>
      <c r="G130" s="4">
        <v>600</v>
      </c>
      <c r="H130" s="9">
        <v>600</v>
      </c>
      <c r="I130" s="10" t="s">
        <v>11</v>
      </c>
      <c r="J130" s="7"/>
      <c r="K130" s="8"/>
    </row>
    <row r="131" ht="30" customHeight="1">
      <c r="A131" s="1" t="s">
        <v>67</v>
      </c>
      <c r="B131" s="1" t="s">
        <v>25</v>
      </c>
      <c r="C131" s="1" t="s">
        <v>26</v>
      </c>
      <c r="D131" s="1" t="s">
        <v>28</v>
      </c>
      <c r="E131" s="2" t="s">
        <v>29</v>
      </c>
      <c r="F131" s="3">
        <v>5</v>
      </c>
      <c r="G131" s="4">
        <v>39</v>
      </c>
      <c r="H131" s="5">
        <v>195</v>
      </c>
      <c r="I131" s="6" t="s">
        <v>6</v>
      </c>
      <c r="J131" s="7" t="s">
        <v>30</v>
      </c>
      <c r="K131" s="8">
        <v>45735.395833333336</v>
      </c>
    </row>
    <row r="132" ht="30" customHeight="1">
      <c r="A132" s="1" t="s">
        <v>68</v>
      </c>
      <c r="B132" s="1" t="s">
        <v>33</v>
      </c>
      <c r="C132" s="1" t="s">
        <v>2</v>
      </c>
      <c r="D132" s="1" t="s">
        <v>35</v>
      </c>
      <c r="E132" s="2" t="s">
        <v>36</v>
      </c>
      <c r="F132" s="3">
        <v>14</v>
      </c>
      <c r="G132" s="4">
        <v>520</v>
      </c>
      <c r="H132" s="5">
        <v>7280</v>
      </c>
      <c r="I132" s="6" t="s">
        <v>6</v>
      </c>
      <c r="J132" s="7" t="s">
        <v>37</v>
      </c>
      <c r="K132" s="8">
        <v>45741.395833333336</v>
      </c>
    </row>
    <row r="133" ht="30" customHeight="1">
      <c r="A133" s="1"/>
      <c r="B133" s="1"/>
      <c r="C133" s="1"/>
      <c r="D133" s="1" t="s">
        <v>39</v>
      </c>
      <c r="E133" s="2" t="s">
        <v>40</v>
      </c>
      <c r="F133" s="3">
        <v>2</v>
      </c>
      <c r="G133" s="4">
        <v>2100</v>
      </c>
      <c r="H133" s="5">
        <v>4200</v>
      </c>
      <c r="I133" s="6" t="s">
        <v>6</v>
      </c>
      <c r="J133" s="7"/>
      <c r="K133" s="8"/>
    </row>
    <row r="134" ht="30" customHeight="1">
      <c r="A134" s="19">
        <v>32</v>
      </c>
      <c r="F134" s="19">
        <v>456</v>
      </c>
      <c r="H134" s="22">
        <v>233768</v>
      </c>
    </row>
  </sheetData>
  <mergeCells count="352">
    <mergeCell ref="A2:A3"/>
    <mergeCell ref="B2:B3"/>
    <mergeCell ref="C2:C3"/>
    <mergeCell ref="D2:D3"/>
    <mergeCell ref="K2:K3"/>
    <mergeCell ref="L2:L3"/>
    <mergeCell ref="M2:M3"/>
    <mergeCell ref="A4:A6"/>
    <mergeCell ref="B4:B6"/>
    <mergeCell ref="C4:C6"/>
    <mergeCell ref="D4:D6"/>
    <mergeCell ref="K4:K6"/>
    <mergeCell ref="L4:L6"/>
    <mergeCell ref="M4:M6"/>
    <mergeCell ref="A8:A9"/>
    <mergeCell ref="B8:B9"/>
    <mergeCell ref="C8:C9"/>
    <mergeCell ref="D8:D9"/>
    <mergeCell ref="K8:K9"/>
    <mergeCell ref="L8:L9"/>
    <mergeCell ref="M8:M9"/>
    <mergeCell ref="A10:A11"/>
    <mergeCell ref="B10:B11"/>
    <mergeCell ref="C10:C11"/>
    <mergeCell ref="D10:D11"/>
    <mergeCell ref="K10:K11"/>
    <mergeCell ref="L10:L11"/>
    <mergeCell ref="M10:M11"/>
    <mergeCell ref="A12:A14"/>
    <mergeCell ref="B12:B14"/>
    <mergeCell ref="C12:C14"/>
    <mergeCell ref="D12:D14"/>
    <mergeCell ref="K12:K14"/>
    <mergeCell ref="L12:L14"/>
    <mergeCell ref="M12:M14"/>
    <mergeCell ref="A16:A17"/>
    <mergeCell ref="B16:B17"/>
    <mergeCell ref="C16:C17"/>
    <mergeCell ref="D16:D17"/>
    <mergeCell ref="K16:K17"/>
    <mergeCell ref="L16:L17"/>
    <mergeCell ref="M16:M17"/>
    <mergeCell ref="A18:A19"/>
    <mergeCell ref="B18:B19"/>
    <mergeCell ref="C18:C19"/>
    <mergeCell ref="D18:D19"/>
    <mergeCell ref="K18:K19"/>
    <mergeCell ref="L18:L19"/>
    <mergeCell ref="M18:M19"/>
    <mergeCell ref="A20:A22"/>
    <mergeCell ref="B20:B22"/>
    <mergeCell ref="C20:C22"/>
    <mergeCell ref="D20:D22"/>
    <mergeCell ref="K20:K22"/>
    <mergeCell ref="L20:L22"/>
    <mergeCell ref="M20:M22"/>
    <mergeCell ref="A24:A25"/>
    <mergeCell ref="B24:B25"/>
    <mergeCell ref="C24:C25"/>
    <mergeCell ref="D24:D25"/>
    <mergeCell ref="K24:K25"/>
    <mergeCell ref="L24:L25"/>
    <mergeCell ref="M24:M25"/>
    <mergeCell ref="A26:A27"/>
    <mergeCell ref="B26:B27"/>
    <mergeCell ref="C26:C27"/>
    <mergeCell ref="D26:D27"/>
    <mergeCell ref="K26:K27"/>
    <mergeCell ref="L26:L27"/>
    <mergeCell ref="M26:M27"/>
    <mergeCell ref="A28:A30"/>
    <mergeCell ref="B28:B30"/>
    <mergeCell ref="C28:C30"/>
    <mergeCell ref="D28:D30"/>
    <mergeCell ref="K28:K30"/>
    <mergeCell ref="L28:L30"/>
    <mergeCell ref="M28:M30"/>
    <mergeCell ref="A32:A33"/>
    <mergeCell ref="B32:B33"/>
    <mergeCell ref="C32:C33"/>
    <mergeCell ref="D32:D33"/>
    <mergeCell ref="K32:K33"/>
    <mergeCell ref="L32:L33"/>
    <mergeCell ref="M32:M33"/>
    <mergeCell ref="A34:A35"/>
    <mergeCell ref="B34:B35"/>
    <mergeCell ref="C34:C35"/>
    <mergeCell ref="D34:D35"/>
    <mergeCell ref="K34:K35"/>
    <mergeCell ref="L34:L35"/>
    <mergeCell ref="M34:M35"/>
    <mergeCell ref="A36:A38"/>
    <mergeCell ref="B36:B38"/>
    <mergeCell ref="C36:C38"/>
    <mergeCell ref="D36:D38"/>
    <mergeCell ref="K36:K38"/>
    <mergeCell ref="L36:L38"/>
    <mergeCell ref="M36:M38"/>
    <mergeCell ref="A40:A41"/>
    <mergeCell ref="B40:B41"/>
    <mergeCell ref="C40:C41"/>
    <mergeCell ref="D40:D41"/>
    <mergeCell ref="K40:K41"/>
    <mergeCell ref="L40:L41"/>
    <mergeCell ref="M40:M41"/>
    <mergeCell ref="A42:A43"/>
    <mergeCell ref="B42:B43"/>
    <mergeCell ref="C42:C43"/>
    <mergeCell ref="D42:D43"/>
    <mergeCell ref="K42:K43"/>
    <mergeCell ref="L42:L43"/>
    <mergeCell ref="M42:M43"/>
    <mergeCell ref="A44:A46"/>
    <mergeCell ref="B44:B46"/>
    <mergeCell ref="C44:C46"/>
    <mergeCell ref="D44:D46"/>
    <mergeCell ref="K44:K46"/>
    <mergeCell ref="L44:L46"/>
    <mergeCell ref="M44:M46"/>
    <mergeCell ref="A48:A49"/>
    <mergeCell ref="B48:B49"/>
    <mergeCell ref="C48:C49"/>
    <mergeCell ref="D48:D49"/>
    <mergeCell ref="K48:K49"/>
    <mergeCell ref="L48:L49"/>
    <mergeCell ref="M48:M49"/>
    <mergeCell ref="A50:A51"/>
    <mergeCell ref="B50:B51"/>
    <mergeCell ref="C50:C51"/>
    <mergeCell ref="D50:D51"/>
    <mergeCell ref="K50:K51"/>
    <mergeCell ref="L50:L51"/>
    <mergeCell ref="M50:M51"/>
    <mergeCell ref="A52:A54"/>
    <mergeCell ref="B52:B54"/>
    <mergeCell ref="C52:C54"/>
    <mergeCell ref="D52:D54"/>
    <mergeCell ref="K52:K54"/>
    <mergeCell ref="L52:L54"/>
    <mergeCell ref="M52:M54"/>
    <mergeCell ref="A56:A57"/>
    <mergeCell ref="B56:B57"/>
    <mergeCell ref="C56:C57"/>
    <mergeCell ref="D56:D57"/>
    <mergeCell ref="K56:K57"/>
    <mergeCell ref="L56:L57"/>
    <mergeCell ref="M56:M57"/>
    <mergeCell ref="A58:A59"/>
    <mergeCell ref="B58:B59"/>
    <mergeCell ref="C58:C59"/>
    <mergeCell ref="D58:D59"/>
    <mergeCell ref="K58:K59"/>
    <mergeCell ref="L58:L59"/>
    <mergeCell ref="M58:M59"/>
    <mergeCell ref="A60:A62"/>
    <mergeCell ref="B60:B62"/>
    <mergeCell ref="C60:C62"/>
    <mergeCell ref="D60:D62"/>
    <mergeCell ref="K60:K62"/>
    <mergeCell ref="L60:L62"/>
    <mergeCell ref="M60:M62"/>
    <mergeCell ref="A64:A65"/>
    <mergeCell ref="B64:B65"/>
    <mergeCell ref="C64:C65"/>
    <mergeCell ref="D64:D65"/>
    <mergeCell ref="K64:K65"/>
    <mergeCell ref="L64:L65"/>
    <mergeCell ref="M64:M65"/>
    <mergeCell ref="P2:P3"/>
    <mergeCell ref="Q2:Q3"/>
    <mergeCell ref="R2:R3"/>
    <mergeCell ref="W2:W3"/>
    <mergeCell ref="P4:P5"/>
    <mergeCell ref="Q4:Q5"/>
    <mergeCell ref="R4:R5"/>
    <mergeCell ref="W4:W5"/>
    <mergeCell ref="P6:P7"/>
    <mergeCell ref="Q6:Q7"/>
    <mergeCell ref="R6:R7"/>
    <mergeCell ref="W6:W7"/>
    <mergeCell ref="P8:P9"/>
    <mergeCell ref="Q8:Q9"/>
    <mergeCell ref="R8:R9"/>
    <mergeCell ref="W8:W9"/>
    <mergeCell ref="P10:P11"/>
    <mergeCell ref="Q10:Q11"/>
    <mergeCell ref="R10:R11"/>
    <mergeCell ref="W10:W11"/>
    <mergeCell ref="P12:P13"/>
    <mergeCell ref="Q12:Q13"/>
    <mergeCell ref="R12:R13"/>
    <mergeCell ref="W12:W13"/>
    <mergeCell ref="P14:P15"/>
    <mergeCell ref="Q14:Q15"/>
    <mergeCell ref="R14:R15"/>
    <mergeCell ref="W14:W15"/>
    <mergeCell ref="P16:P17"/>
    <mergeCell ref="Q16:Q17"/>
    <mergeCell ref="R16:R17"/>
    <mergeCell ref="W16:W17"/>
    <mergeCell ref="P18:P19"/>
    <mergeCell ref="Q18:Q19"/>
    <mergeCell ref="R18:R19"/>
    <mergeCell ref="W18:W19"/>
    <mergeCell ref="P20:P21"/>
    <mergeCell ref="Q20:Q21"/>
    <mergeCell ref="R20:R21"/>
    <mergeCell ref="W20:W21"/>
    <mergeCell ref="P22:P23"/>
    <mergeCell ref="Q22:Q23"/>
    <mergeCell ref="R22:R23"/>
    <mergeCell ref="W22:W23"/>
    <mergeCell ref="P24:P25"/>
    <mergeCell ref="Q24:Q25"/>
    <mergeCell ref="R24:R25"/>
    <mergeCell ref="W24:W25"/>
    <mergeCell ref="P26:P27"/>
    <mergeCell ref="Q26:Q27"/>
    <mergeCell ref="R26:R27"/>
    <mergeCell ref="W26:W27"/>
    <mergeCell ref="P28:P29"/>
    <mergeCell ref="Q28:Q29"/>
    <mergeCell ref="R28:R29"/>
    <mergeCell ref="W28:W29"/>
    <mergeCell ref="P30:P31"/>
    <mergeCell ref="Q30:Q31"/>
    <mergeCell ref="R30:R31"/>
    <mergeCell ref="W30:W31"/>
    <mergeCell ref="P32:P33"/>
    <mergeCell ref="Q32:Q33"/>
    <mergeCell ref="R32:R33"/>
    <mergeCell ref="W32:W33"/>
    <mergeCell ref="A70:A71"/>
    <mergeCell ref="B70:B71"/>
    <mergeCell ref="C70:C71"/>
    <mergeCell ref="J70:J71"/>
    <mergeCell ref="K70:K71"/>
    <mergeCell ref="A72:A74"/>
    <mergeCell ref="B72:B74"/>
    <mergeCell ref="C72:C74"/>
    <mergeCell ref="J72:J74"/>
    <mergeCell ref="K72:K74"/>
    <mergeCell ref="A76:A77"/>
    <mergeCell ref="B76:B77"/>
    <mergeCell ref="C76:C77"/>
    <mergeCell ref="J76:J77"/>
    <mergeCell ref="K76:K77"/>
    <mergeCell ref="A78:A79"/>
    <mergeCell ref="B78:B79"/>
    <mergeCell ref="C78:C79"/>
    <mergeCell ref="J78:J79"/>
    <mergeCell ref="K78:K79"/>
    <mergeCell ref="A80:A82"/>
    <mergeCell ref="B80:B82"/>
    <mergeCell ref="C80:C82"/>
    <mergeCell ref="J80:J82"/>
    <mergeCell ref="K80:K82"/>
    <mergeCell ref="A84:A85"/>
    <mergeCell ref="B84:B85"/>
    <mergeCell ref="C84:C85"/>
    <mergeCell ref="J84:J85"/>
    <mergeCell ref="K84:K85"/>
    <mergeCell ref="A86:A87"/>
    <mergeCell ref="B86:B87"/>
    <mergeCell ref="C86:C87"/>
    <mergeCell ref="J86:J87"/>
    <mergeCell ref="K86:K87"/>
    <mergeCell ref="A88:A90"/>
    <mergeCell ref="B88:B90"/>
    <mergeCell ref="C88:C90"/>
    <mergeCell ref="J88:J90"/>
    <mergeCell ref="K88:K90"/>
    <mergeCell ref="A92:A93"/>
    <mergeCell ref="B92:B93"/>
    <mergeCell ref="C92:C93"/>
    <mergeCell ref="J92:J93"/>
    <mergeCell ref="K92:K93"/>
    <mergeCell ref="A94:A95"/>
    <mergeCell ref="B94:B95"/>
    <mergeCell ref="C94:C95"/>
    <mergeCell ref="J94:J95"/>
    <mergeCell ref="K94:K95"/>
    <mergeCell ref="A96:A98"/>
    <mergeCell ref="B96:B98"/>
    <mergeCell ref="C96:C98"/>
    <mergeCell ref="J96:J98"/>
    <mergeCell ref="K96:K98"/>
    <mergeCell ref="A100:A101"/>
    <mergeCell ref="B100:B101"/>
    <mergeCell ref="C100:C101"/>
    <mergeCell ref="J100:J101"/>
    <mergeCell ref="K100:K101"/>
    <mergeCell ref="A102:A103"/>
    <mergeCell ref="B102:B103"/>
    <mergeCell ref="C102:C103"/>
    <mergeCell ref="J102:J103"/>
    <mergeCell ref="K102:K103"/>
    <mergeCell ref="A104:A106"/>
    <mergeCell ref="B104:B106"/>
    <mergeCell ref="C104:C106"/>
    <mergeCell ref="J104:J106"/>
    <mergeCell ref="K104:K106"/>
    <mergeCell ref="A108:A109"/>
    <mergeCell ref="B108:B109"/>
    <mergeCell ref="C108:C109"/>
    <mergeCell ref="J108:J109"/>
    <mergeCell ref="K108:K109"/>
    <mergeCell ref="A110:A111"/>
    <mergeCell ref="B110:B111"/>
    <mergeCell ref="C110:C111"/>
    <mergeCell ref="J110:J111"/>
    <mergeCell ref="K110:K111"/>
    <mergeCell ref="A112:A114"/>
    <mergeCell ref="B112:B114"/>
    <mergeCell ref="C112:C114"/>
    <mergeCell ref="J112:J114"/>
    <mergeCell ref="K112:K114"/>
    <mergeCell ref="A116:A117"/>
    <mergeCell ref="B116:B117"/>
    <mergeCell ref="C116:C117"/>
    <mergeCell ref="J116:J117"/>
    <mergeCell ref="K116:K117"/>
    <mergeCell ref="A118:A119"/>
    <mergeCell ref="B118:B119"/>
    <mergeCell ref="C118:C119"/>
    <mergeCell ref="J118:J119"/>
    <mergeCell ref="K118:K119"/>
    <mergeCell ref="A120:A122"/>
    <mergeCell ref="B120:B122"/>
    <mergeCell ref="C120:C122"/>
    <mergeCell ref="J120:J122"/>
    <mergeCell ref="K120:K122"/>
    <mergeCell ref="A124:A125"/>
    <mergeCell ref="B124:B125"/>
    <mergeCell ref="C124:C125"/>
    <mergeCell ref="J124:J125"/>
    <mergeCell ref="K124:K125"/>
    <mergeCell ref="A126:A127"/>
    <mergeCell ref="B126:B127"/>
    <mergeCell ref="C126:C127"/>
    <mergeCell ref="J126:J127"/>
    <mergeCell ref="K126:K127"/>
    <mergeCell ref="A128:A130"/>
    <mergeCell ref="B128:B130"/>
    <mergeCell ref="C128:C130"/>
    <mergeCell ref="J128:J130"/>
    <mergeCell ref="K128:K130"/>
    <mergeCell ref="A132:A133"/>
    <mergeCell ref="B132:B133"/>
    <mergeCell ref="C132:C133"/>
    <mergeCell ref="J132:J133"/>
    <mergeCell ref="K132:K13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1">
      <pane xSplit="2" ySplit="1" topLeftCell="C2" state="frozen" activePane="bottomRigh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7" customWidth="1"/>
    <col min="6" max="6" width="30" customWidth="1"/>
    <col min="7" max="7" width="13" customWidth="1"/>
    <col min="8" max="8" width="17" customWidth="1"/>
    <col min="9" max="9" width="17" customWidth="1"/>
    <col min="10" max="10" width="17" customWidth="1"/>
    <col min="11" max="11" width="32" customWidth="1"/>
    <col min="12" max="12" width="42" customWidth="1"/>
    <col min="13" max="13" width="27" customWidth="1"/>
  </cols>
  <sheetData>
    <row r="1" ht="30" customHeight="1">
      <c r="A1" t="inlineStr" s="25">
        <is>
          <t>Order</t>
        </is>
      </c>
      <c r="B1" t="inlineStr" s="25">
        <is>
          <t>Customer</t>
        </is>
      </c>
      <c r="C1" t="inlineStr" s="25">
        <is>
          <t>Account</t>
        </is>
      </c>
      <c r="D1" t="inlineStr" s="25">
        <is>
          <t>Email</t>
        </is>
      </c>
      <c r="E1" t="inlineStr" s="25">
        <is>
          <t>SKU</t>
        </is>
      </c>
      <c r="F1" t="inlineStr" s="25">
        <is>
          <t>Description</t>
        </is>
      </c>
      <c r="G1" t="inlineStr" s="25">
        <is>
          <t>Qty</t>
        </is>
      </c>
      <c r="H1" t="inlineStr" s="25">
        <is>
          <t>Unit Price</t>
        </is>
      </c>
      <c r="I1" t="inlineStr" s="25">
        <is>
          <t>Line Total</t>
        </is>
      </c>
      <c r="J1" t="inlineStr" s="25">
        <is>
          <t>Fulfilled</t>
        </is>
      </c>
      <c r="K1" t="inlineStr" s="25">
        <is>
          <t>Notes</t>
        </is>
      </c>
      <c r="L1" t="inlineStr" s="25">
        <is>
          <t>Tags</t>
        </is>
      </c>
      <c r="M1" t="inlineStr" s="25">
        <is>
          <t>Created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>
        <v>8</v>
      </c>
      <c r="H2" s="4">
        <v>1450</v>
      </c>
      <c r="I2" s="5">
        <v>11600</v>
      </c>
      <c r="J2" s="6" t="s">
        <v>6</v>
      </c>
      <c r="K2" s="7" t="s">
        <v>7</v>
      </c>
      <c r="L2" s="1" t="s">
        <v>8</v>
      </c>
      <c r="M2" s="8">
        <v>45719.395833333336</v>
      </c>
    </row>
    <row r="3" ht="30" customHeight="1">
      <c r="A3" s="1"/>
      <c r="B3" s="1"/>
      <c r="C3" s="1"/>
      <c r="D3" s="1"/>
      <c r="E3" s="1" t="s">
        <v>9</v>
      </c>
      <c r="F3" s="2" t="s">
        <v>10</v>
      </c>
      <c r="G3" s="3">
        <v>1</v>
      </c>
      <c r="H3" s="4">
        <v>950</v>
      </c>
      <c r="I3" s="9">
        <v>950</v>
      </c>
      <c r="J3" s="10" t="s">
        <v>11</v>
      </c>
      <c r="K3" s="7"/>
      <c r="L3" s="1"/>
      <c r="M3" s="8"/>
    </row>
    <row r="4" ht="30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  <c r="G4" s="3">
        <v>24</v>
      </c>
      <c r="H4" s="4">
        <v>79</v>
      </c>
      <c r="I4" s="5">
        <v>1896</v>
      </c>
      <c r="J4" s="6" t="s">
        <v>6</v>
      </c>
      <c r="K4" s="7" t="s">
        <v>18</v>
      </c>
      <c r="L4" s="1" t="s">
        <v>19</v>
      </c>
      <c r="M4" s="8">
        <v>45723.395833333336</v>
      </c>
    </row>
    <row r="5" ht="30" customHeight="1">
      <c r="A5" s="1"/>
      <c r="B5" s="1"/>
      <c r="C5" s="1"/>
      <c r="D5" s="1"/>
      <c r="E5" s="1" t="s">
        <v>20</v>
      </c>
      <c r="F5" s="2" t="s">
        <v>21</v>
      </c>
      <c r="G5" s="3">
        <v>2</v>
      </c>
      <c r="H5" s="4">
        <v>1250</v>
      </c>
      <c r="I5" s="5">
        <v>2500</v>
      </c>
      <c r="J5" s="6" t="s">
        <v>6</v>
      </c>
      <c r="K5" s="7"/>
      <c r="L5" s="1"/>
      <c r="M5" s="8"/>
    </row>
    <row r="6" ht="30" customHeight="1">
      <c r="A6" s="1"/>
      <c r="B6" s="1"/>
      <c r="C6" s="1"/>
      <c r="D6" s="1"/>
      <c r="E6" s="1" t="s">
        <v>22</v>
      </c>
      <c r="F6" s="2" t="s">
        <v>23</v>
      </c>
      <c r="G6" s="3">
        <v>1</v>
      </c>
      <c r="H6" s="4">
        <v>600</v>
      </c>
      <c r="I6" s="9">
        <v>600</v>
      </c>
      <c r="J6" s="10" t="s">
        <v>11</v>
      </c>
      <c r="K6" s="7"/>
      <c r="L6" s="1"/>
      <c r="M6" s="8"/>
    </row>
    <row r="7" ht="30" customHeight="1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2" t="s">
        <v>29</v>
      </c>
      <c r="G7" s="3">
        <v>5</v>
      </c>
      <c r="H7" s="4">
        <v>39</v>
      </c>
      <c r="I7" s="5">
        <v>195</v>
      </c>
      <c r="J7" s="6" t="s">
        <v>6</v>
      </c>
      <c r="K7" s="7" t="s">
        <v>30</v>
      </c>
      <c r="L7" s="1" t="s">
        <v>31</v>
      </c>
      <c r="M7" s="8">
        <v>45728.395833333336</v>
      </c>
    </row>
    <row r="8" ht="30" customHeight="1">
      <c r="A8" s="1" t="s">
        <v>32</v>
      </c>
      <c r="B8" s="1" t="s">
        <v>33</v>
      </c>
      <c r="C8" s="1" t="s">
        <v>2</v>
      </c>
      <c r="D8" s="1" t="s">
        <v>34</v>
      </c>
      <c r="E8" s="1" t="s">
        <v>35</v>
      </c>
      <c r="F8" s="2" t="s">
        <v>36</v>
      </c>
      <c r="G8" s="3">
        <v>14</v>
      </c>
      <c r="H8" s="4">
        <v>520</v>
      </c>
      <c r="I8" s="5">
        <v>7280</v>
      </c>
      <c r="J8" s="6" t="s">
        <v>6</v>
      </c>
      <c r="K8" s="7" t="s">
        <v>37</v>
      </c>
      <c r="L8" s="1" t="s">
        <v>38</v>
      </c>
      <c r="M8" s="8">
        <v>45734.395833333336</v>
      </c>
    </row>
    <row r="9" ht="30" customHeight="1">
      <c r="A9" s="1"/>
      <c r="B9" s="1"/>
      <c r="C9" s="1"/>
      <c r="D9" s="1"/>
      <c r="E9" s="1" t="s">
        <v>39</v>
      </c>
      <c r="F9" s="2" t="s">
        <v>40</v>
      </c>
      <c r="G9" s="3">
        <v>2</v>
      </c>
      <c r="H9" s="4">
        <v>2100</v>
      </c>
      <c r="I9" s="5">
        <v>4200</v>
      </c>
      <c r="J9" s="6" t="s">
        <v>6</v>
      </c>
      <c r="K9" s="7"/>
      <c r="L9" s="1"/>
      <c r="M9" s="8"/>
    </row>
    <row r="10" ht="30" customHeight="1">
      <c r="A10" s="1" t="s">
        <v>41</v>
      </c>
      <c r="B10" s="1" t="s">
        <v>1</v>
      </c>
      <c r="C10" s="1" t="s">
        <v>2</v>
      </c>
      <c r="D10" s="1" t="s">
        <v>3</v>
      </c>
      <c r="E10" s="1" t="s">
        <v>4</v>
      </c>
      <c r="F10" s="2" t="s">
        <v>5</v>
      </c>
      <c r="G10" s="3">
        <v>8</v>
      </c>
      <c r="H10" s="4">
        <v>1450</v>
      </c>
      <c r="I10" s="5">
        <v>11600</v>
      </c>
      <c r="J10" s="6" t="s">
        <v>6</v>
      </c>
      <c r="K10" s="7" t="s">
        <v>7</v>
      </c>
      <c r="L10" s="1" t="s">
        <v>8</v>
      </c>
      <c r="M10" s="8">
        <v>45720.395833333336</v>
      </c>
    </row>
    <row r="11" ht="30" customHeight="1">
      <c r="A11" s="1"/>
      <c r="B11" s="1"/>
      <c r="C11" s="1"/>
      <c r="D11" s="1"/>
      <c r="E11" s="1" t="s">
        <v>9</v>
      </c>
      <c r="F11" s="2" t="s">
        <v>10</v>
      </c>
      <c r="G11" s="3">
        <v>1</v>
      </c>
      <c r="H11" s="4">
        <v>950</v>
      </c>
      <c r="I11" s="9">
        <v>950</v>
      </c>
      <c r="J11" s="10" t="s">
        <v>11</v>
      </c>
      <c r="K11" s="7"/>
      <c r="L11" s="1"/>
      <c r="M11" s="8"/>
    </row>
    <row r="12" ht="30" customHeight="1">
      <c r="A12" s="1" t="s">
        <v>42</v>
      </c>
      <c r="B12" s="1" t="s">
        <v>13</v>
      </c>
      <c r="C12" s="1" t="s">
        <v>14</v>
      </c>
      <c r="D12" s="1" t="s">
        <v>15</v>
      </c>
      <c r="E12" s="1" t="s">
        <v>16</v>
      </c>
      <c r="F12" s="2" t="s">
        <v>17</v>
      </c>
      <c r="G12" s="3">
        <v>24</v>
      </c>
      <c r="H12" s="4">
        <v>79</v>
      </c>
      <c r="I12" s="5">
        <v>1896</v>
      </c>
      <c r="J12" s="6" t="s">
        <v>6</v>
      </c>
      <c r="K12" s="7" t="s">
        <v>18</v>
      </c>
      <c r="L12" s="1" t="s">
        <v>19</v>
      </c>
      <c r="M12" s="8">
        <v>45724.395833333336</v>
      </c>
    </row>
    <row r="13" ht="30" customHeight="1">
      <c r="A13" s="1"/>
      <c r="B13" s="1"/>
      <c r="C13" s="1"/>
      <c r="D13" s="1"/>
      <c r="E13" s="1" t="s">
        <v>20</v>
      </c>
      <c r="F13" s="2" t="s">
        <v>21</v>
      </c>
      <c r="G13" s="3">
        <v>2</v>
      </c>
      <c r="H13" s="4">
        <v>1250</v>
      </c>
      <c r="I13" s="5">
        <v>2500</v>
      </c>
      <c r="J13" s="6" t="s">
        <v>6</v>
      </c>
      <c r="K13" s="7"/>
      <c r="L13" s="1"/>
      <c r="M13" s="8"/>
    </row>
    <row r="14" ht="30" customHeight="1">
      <c r="A14" s="1"/>
      <c r="B14" s="1"/>
      <c r="C14" s="1"/>
      <c r="D14" s="1"/>
      <c r="E14" s="1" t="s">
        <v>22</v>
      </c>
      <c r="F14" s="2" t="s">
        <v>23</v>
      </c>
      <c r="G14" s="3">
        <v>1</v>
      </c>
      <c r="H14" s="4">
        <v>600</v>
      </c>
      <c r="I14" s="9">
        <v>600</v>
      </c>
      <c r="J14" s="10" t="s">
        <v>11</v>
      </c>
      <c r="K14" s="7"/>
      <c r="L14" s="1"/>
      <c r="M14" s="8"/>
    </row>
    <row r="15" ht="30" customHeight="1">
      <c r="A15" s="19">
        <v>6</v>
      </c>
      <c r="G15" s="19">
        <v>93</v>
      </c>
      <c r="I15" s="22">
        <v>46767</v>
      </c>
    </row>
  </sheetData>
  <mergeCells count="35">
    <mergeCell ref="A2:A3"/>
    <mergeCell ref="B2:B3"/>
    <mergeCell ref="C2:C3"/>
    <mergeCell ref="D2:D3"/>
    <mergeCell ref="K2:K3"/>
    <mergeCell ref="L2:L3"/>
    <mergeCell ref="M2:M3"/>
    <mergeCell ref="A4:A6"/>
    <mergeCell ref="B4:B6"/>
    <mergeCell ref="C4:C6"/>
    <mergeCell ref="D4:D6"/>
    <mergeCell ref="K4:K6"/>
    <mergeCell ref="L4:L6"/>
    <mergeCell ref="M4:M6"/>
    <mergeCell ref="A8:A9"/>
    <mergeCell ref="B8:B9"/>
    <mergeCell ref="C8:C9"/>
    <mergeCell ref="D8:D9"/>
    <mergeCell ref="K8:K9"/>
    <mergeCell ref="L8:L9"/>
    <mergeCell ref="M8:M9"/>
    <mergeCell ref="A10:A11"/>
    <mergeCell ref="B10:B11"/>
    <mergeCell ref="C10:C11"/>
    <mergeCell ref="D10:D11"/>
    <mergeCell ref="K10:K11"/>
    <mergeCell ref="L10:L11"/>
    <mergeCell ref="M10:M11"/>
    <mergeCell ref="A12:A14"/>
    <mergeCell ref="B12:B14"/>
    <mergeCell ref="C12:C14"/>
    <mergeCell ref="D12:D14"/>
    <mergeCell ref="K12:K14"/>
    <mergeCell ref="L12:L14"/>
    <mergeCell ref="M12:M14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state="frozen" activePane="bottomLef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32" customWidth="1"/>
    <col min="6" max="6" width="42" customWidth="1"/>
    <col min="7" max="7" width="27" customWidth="1"/>
  </cols>
  <sheetData>
    <row r="1" ht="30" customHeight="1">
      <c r="A1" t="inlineStr" s="25">
        <is>
          <t>Order</t>
        </is>
      </c>
      <c r="B1" t="inlineStr" s="25">
        <is>
          <t>Customer</t>
        </is>
      </c>
      <c r="C1" t="inlineStr" s="25">
        <is>
          <t>Account</t>
        </is>
      </c>
      <c r="D1" t="inlineStr" s="25">
        <is>
          <t>Email</t>
        </is>
      </c>
      <c r="E1" t="inlineStr" s="25">
        <is>
          <t>Notes</t>
        </is>
      </c>
      <c r="F1" t="inlineStr" s="25">
        <is>
          <t>Tags</t>
        </is>
      </c>
      <c r="G1" t="inlineStr" s="25">
        <is>
          <t>Created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7" t="s">
        <v>7</v>
      </c>
      <c r="F2" s="1" t="s">
        <v>8</v>
      </c>
      <c r="G2" s="8">
        <v>45719.395833333336</v>
      </c>
    </row>
    <row r="3" ht="30" customHeight="1">
      <c r="A3" s="1" t="s">
        <v>12</v>
      </c>
      <c r="B3" s="1" t="s">
        <v>13</v>
      </c>
      <c r="C3" s="1" t="s">
        <v>14</v>
      </c>
      <c r="D3" s="1" t="s">
        <v>15</v>
      </c>
      <c r="E3" s="7" t="s">
        <v>18</v>
      </c>
      <c r="F3" s="1" t="s">
        <v>19</v>
      </c>
      <c r="G3" s="8">
        <v>45723.395833333336</v>
      </c>
    </row>
    <row r="4" ht="30" customHeight="1">
      <c r="A4" s="1" t="s">
        <v>24</v>
      </c>
      <c r="B4" s="1" t="s">
        <v>25</v>
      </c>
      <c r="C4" s="1" t="s">
        <v>26</v>
      </c>
      <c r="D4" s="1" t="s">
        <v>27</v>
      </c>
      <c r="E4" s="7" t="s">
        <v>30</v>
      </c>
      <c r="F4" s="1" t="s">
        <v>31</v>
      </c>
      <c r="G4" s="8">
        <v>45728.395833333336</v>
      </c>
    </row>
    <row r="5" ht="30" customHeight="1">
      <c r="A5" s="1" t="s">
        <v>32</v>
      </c>
      <c r="B5" s="1" t="s">
        <v>33</v>
      </c>
      <c r="C5" s="1" t="s">
        <v>2</v>
      </c>
      <c r="D5" s="1" t="s">
        <v>34</v>
      </c>
      <c r="E5" s="7" t="s">
        <v>37</v>
      </c>
      <c r="F5" s="1" t="s">
        <v>38</v>
      </c>
      <c r="G5" s="8">
        <v>45734.395833333336</v>
      </c>
    </row>
    <row r="6" ht="30" customHeight="1">
      <c r="A6" s="1" t="s">
        <v>41</v>
      </c>
      <c r="B6" s="1" t="s">
        <v>1</v>
      </c>
      <c r="C6" s="1" t="s">
        <v>2</v>
      </c>
      <c r="D6" s="1" t="s">
        <v>3</v>
      </c>
      <c r="E6" s="7" t="s">
        <v>7</v>
      </c>
      <c r="F6" s="1" t="s">
        <v>8</v>
      </c>
      <c r="G6" s="8">
        <v>45720.395833333336</v>
      </c>
    </row>
    <row r="7" ht="30" customHeight="1">
      <c r="A7" s="1" t="s">
        <v>42</v>
      </c>
      <c r="B7" s="1" t="s">
        <v>13</v>
      </c>
      <c r="C7" s="1" t="s">
        <v>14</v>
      </c>
      <c r="D7" s="1" t="s">
        <v>15</v>
      </c>
      <c r="E7" s="7" t="s">
        <v>18</v>
      </c>
      <c r="F7" s="1" t="s">
        <v>19</v>
      </c>
      <c r="G7" s="8">
        <v>45724.395833333336</v>
      </c>
    </row>
    <row r="8" ht="30" customHeight="1">
      <c r="A8" s="1" t="s">
        <v>43</v>
      </c>
      <c r="B8" s="1" t="s">
        <v>25</v>
      </c>
      <c r="C8" s="1" t="s">
        <v>26</v>
      </c>
      <c r="D8" s="1" t="s">
        <v>27</v>
      </c>
      <c r="E8" s="7" t="s">
        <v>30</v>
      </c>
      <c r="F8" s="1" t="s">
        <v>31</v>
      </c>
      <c r="G8" s="8">
        <v>45729.395833333336</v>
      </c>
    </row>
    <row r="9" ht="30" customHeight="1">
      <c r="A9" s="1" t="s">
        <v>44</v>
      </c>
      <c r="B9" s="1" t="s">
        <v>33</v>
      </c>
      <c r="C9" s="1" t="s">
        <v>2</v>
      </c>
      <c r="D9" s="1" t="s">
        <v>34</v>
      </c>
      <c r="E9" s="7" t="s">
        <v>37</v>
      </c>
      <c r="F9" s="1" t="s">
        <v>38</v>
      </c>
      <c r="G9" s="8">
        <v>45735.395833333336</v>
      </c>
    </row>
    <row r="10" ht="30" customHeight="1">
      <c r="A10" s="1" t="s">
        <v>45</v>
      </c>
      <c r="B10" s="1" t="s">
        <v>1</v>
      </c>
      <c r="C10" s="1" t="s">
        <v>2</v>
      </c>
      <c r="D10" s="1" t="s">
        <v>3</v>
      </c>
      <c r="E10" s="7" t="s">
        <v>7</v>
      </c>
      <c r="F10" s="1" t="s">
        <v>8</v>
      </c>
      <c r="G10" s="8">
        <v>45721.395833333336</v>
      </c>
    </row>
    <row r="11" ht="30" customHeight="1">
      <c r="A11" s="1" t="s">
        <v>46</v>
      </c>
      <c r="B11" s="1" t="s">
        <v>13</v>
      </c>
      <c r="C11" s="1" t="s">
        <v>14</v>
      </c>
      <c r="D11" s="1" t="s">
        <v>15</v>
      </c>
      <c r="E11" s="7" t="s">
        <v>18</v>
      </c>
      <c r="F11" s="1" t="s">
        <v>19</v>
      </c>
      <c r="G11" s="8">
        <v>45725.395833333336</v>
      </c>
    </row>
    <row r="12" ht="30" customHeight="1">
      <c r="A12" s="1" t="s">
        <v>47</v>
      </c>
      <c r="B12" s="1" t="s">
        <v>25</v>
      </c>
      <c r="C12" s="1" t="s">
        <v>26</v>
      </c>
      <c r="D12" s="1" t="s">
        <v>27</v>
      </c>
      <c r="E12" s="7" t="s">
        <v>30</v>
      </c>
      <c r="F12" s="1" t="s">
        <v>31</v>
      </c>
      <c r="G12" s="8">
        <v>45730.395833333336</v>
      </c>
    </row>
    <row r="13" ht="30" customHeight="1">
      <c r="A13" s="1" t="s">
        <v>48</v>
      </c>
      <c r="B13" s="1" t="s">
        <v>33</v>
      </c>
      <c r="C13" s="1" t="s">
        <v>2</v>
      </c>
      <c r="D13" s="1" t="s">
        <v>34</v>
      </c>
      <c r="E13" s="7" t="s">
        <v>37</v>
      </c>
      <c r="F13" s="1" t="s">
        <v>38</v>
      </c>
      <c r="G13" s="8">
        <v>45736.395833333336</v>
      </c>
    </row>
    <row r="14" ht="30" customHeight="1">
      <c r="A14" s="19">
        <v>12</v>
      </c>
    </row>
  </sheetData>
  <autoFilter ref="A1:G14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1" topLeftCell="A2" state="frozen" activePane="bottomLeft"/>
    </sheetView>
  </sheetViews>
  <sheetFormatPr defaultRowHeight="30"/>
  <cols>
    <col min="1" max="1" width="23" customWidth="1"/>
    <col min="2" max="2" width="17" customWidth="1"/>
    <col min="3" max="3" width="14" customWidth="1"/>
    <col min="4" max="4" width="17" customWidth="1"/>
    <col min="5" max="5" width="27" customWidth="1"/>
  </cols>
  <sheetData>
    <row r="1" ht="30" customHeight="1">
      <c r="A1" t="inlineStr" s="25">
        <is>
          <t>Customer</t>
        </is>
      </c>
      <c r="B1" t="inlineStr" s="25">
        <is>
          <t>Amount</t>
        </is>
      </c>
      <c r="C1" t="inlineStr" s="25">
        <is>
          <t>Items</t>
        </is>
      </c>
      <c r="D1" t="inlineStr" s="25">
        <is>
          <t>Fulfilled %</t>
        </is>
      </c>
      <c r="E1" t="inlineStr" s="25">
        <is>
          <t>Created</t>
        </is>
      </c>
    </row>
    <row r="2" ht="30" customHeight="1">
      <c r="A2" s="1" t="s">
        <v>1</v>
      </c>
      <c r="B2" s="4">
        <v>12550</v>
      </c>
      <c r="C2" s="3">
        <v>2</v>
      </c>
      <c r="D2" s="11">
        <v>0.5</v>
      </c>
      <c r="E2" s="8">
        <v>45719.395833333336</v>
      </c>
    </row>
    <row r="3" ht="30" customHeight="1">
      <c r="A3" s="1" t="s">
        <v>13</v>
      </c>
      <c r="B3" s="4">
        <v>4996</v>
      </c>
      <c r="C3" s="3">
        <v>3</v>
      </c>
      <c r="D3" s="11">
        <v>0.6666666666666666</v>
      </c>
      <c r="E3" s="8">
        <v>45723.395833333336</v>
      </c>
    </row>
    <row r="4" ht="30" customHeight="1">
      <c r="A4" s="1" t="s">
        <v>25</v>
      </c>
      <c r="B4" s="4">
        <v>195</v>
      </c>
      <c r="C4" s="3">
        <v>1</v>
      </c>
      <c r="D4" s="11">
        <v>1</v>
      </c>
      <c r="E4" s="8">
        <v>45728.395833333336</v>
      </c>
    </row>
    <row r="5" ht="30" customHeight="1">
      <c r="A5" s="1" t="s">
        <v>33</v>
      </c>
      <c r="B5" s="4">
        <v>11480</v>
      </c>
      <c r="C5" s="3">
        <v>2</v>
      </c>
      <c r="D5" s="11">
        <v>1</v>
      </c>
      <c r="E5" s="8">
        <v>45734.395833333336</v>
      </c>
    </row>
    <row r="6" ht="30" customHeight="1">
      <c r="A6" s="1" t="s">
        <v>1</v>
      </c>
      <c r="B6" s="4">
        <v>12550</v>
      </c>
      <c r="C6" s="3">
        <v>2</v>
      </c>
      <c r="D6" s="11">
        <v>0.5</v>
      </c>
      <c r="E6" s="8">
        <v>45720.395833333336</v>
      </c>
    </row>
    <row r="7" ht="30" customHeight="1">
      <c r="A7" s="1" t="s">
        <v>13</v>
      </c>
      <c r="B7" s="4">
        <v>4996</v>
      </c>
      <c r="C7" s="3">
        <v>3</v>
      </c>
      <c r="D7" s="11">
        <v>0.6666666666666666</v>
      </c>
      <c r="E7" s="8">
        <v>45724.395833333336</v>
      </c>
    </row>
    <row r="8" ht="30" customHeight="1">
      <c r="A8" s="1" t="s">
        <v>25</v>
      </c>
      <c r="B8" s="4">
        <v>195</v>
      </c>
      <c r="C8" s="3">
        <v>1</v>
      </c>
      <c r="D8" s="11">
        <v>1</v>
      </c>
      <c r="E8" s="8">
        <v>45729.395833333336</v>
      </c>
    </row>
    <row r="9" ht="30" customHeight="1">
      <c r="A9" s="1" t="s">
        <v>33</v>
      </c>
      <c r="B9" s="4">
        <v>11480</v>
      </c>
      <c r="C9" s="3">
        <v>2</v>
      </c>
      <c r="D9" s="11">
        <v>1</v>
      </c>
      <c r="E9" s="8">
        <v>45735.395833333336</v>
      </c>
    </row>
    <row r="10" ht="30" customHeight="1">
      <c r="A10" s="1" t="s">
        <v>1</v>
      </c>
      <c r="B10" s="4">
        <v>12550</v>
      </c>
      <c r="C10" s="3">
        <v>2</v>
      </c>
      <c r="D10" s="11">
        <v>0.5</v>
      </c>
      <c r="E10" s="8">
        <v>45721.395833333336</v>
      </c>
    </row>
    <row r="11" ht="30" customHeight="1">
      <c r="A11" s="1" t="s">
        <v>13</v>
      </c>
      <c r="B11" s="4">
        <v>4996</v>
      </c>
      <c r="C11" s="3">
        <v>3</v>
      </c>
      <c r="D11" s="11">
        <v>0.6666666666666666</v>
      </c>
      <c r="E11" s="8">
        <v>45725.395833333336</v>
      </c>
    </row>
    <row r="12" ht="30" customHeight="1">
      <c r="A12" s="1" t="s">
        <v>25</v>
      </c>
      <c r="B12" s="4">
        <v>195</v>
      </c>
      <c r="C12" s="3">
        <v>1</v>
      </c>
      <c r="D12" s="11">
        <v>1</v>
      </c>
      <c r="E12" s="8">
        <v>45730.395833333336</v>
      </c>
    </row>
    <row r="13" ht="30" customHeight="1">
      <c r="A13" s="1" t="s">
        <v>33</v>
      </c>
      <c r="B13" s="4">
        <v>11480</v>
      </c>
      <c r="C13" s="3">
        <v>2</v>
      </c>
      <c r="D13" s="11">
        <v>1</v>
      </c>
      <c r="E13" s="8">
        <v>45736.395833333336</v>
      </c>
    </row>
    <row r="14" ht="30" customHeight="1">
      <c r="A14" s="1" t="s">
        <v>1</v>
      </c>
      <c r="B14" s="4">
        <v>12550</v>
      </c>
      <c r="C14" s="3">
        <v>2</v>
      </c>
      <c r="D14" s="11">
        <v>0.5</v>
      </c>
      <c r="E14" s="8">
        <v>45722.395833333336</v>
      </c>
    </row>
    <row r="15" ht="30" customHeight="1">
      <c r="A15" s="1" t="s">
        <v>13</v>
      </c>
      <c r="B15" s="4">
        <v>4996</v>
      </c>
      <c r="C15" s="3">
        <v>3</v>
      </c>
      <c r="D15" s="11">
        <v>0.6666666666666666</v>
      </c>
      <c r="E15" s="8">
        <v>45726.395833333336</v>
      </c>
    </row>
    <row r="16" ht="30" customHeight="1">
      <c r="A16" s="1" t="s">
        <v>25</v>
      </c>
      <c r="B16" s="4">
        <v>195</v>
      </c>
      <c r="C16" s="3">
        <v>1</v>
      </c>
      <c r="D16" s="11">
        <v>1</v>
      </c>
      <c r="E16" s="8">
        <v>45731.395833333336</v>
      </c>
    </row>
    <row r="17" ht="30" customHeight="1">
      <c r="A17" s="1" t="s">
        <v>33</v>
      </c>
      <c r="B17" s="4">
        <v>11480</v>
      </c>
      <c r="C17" s="3">
        <v>2</v>
      </c>
      <c r="D17" s="11">
        <v>1</v>
      </c>
      <c r="E17" s="8">
        <v>45737.395833333336</v>
      </c>
    </row>
    <row r="18" ht="30" customHeight="1">
      <c r="A18" s="1" t="s">
        <v>1</v>
      </c>
      <c r="B18" s="4">
        <v>12550</v>
      </c>
      <c r="C18" s="3">
        <v>2</v>
      </c>
      <c r="D18" s="11">
        <v>0.5</v>
      </c>
      <c r="E18" s="8">
        <v>45723.395833333336</v>
      </c>
    </row>
    <row r="19" ht="30" customHeight="1">
      <c r="A19" s="1" t="s">
        <v>13</v>
      </c>
      <c r="B19" s="4">
        <v>4996</v>
      </c>
      <c r="C19" s="3">
        <v>3</v>
      </c>
      <c r="D19" s="11">
        <v>0.6666666666666666</v>
      </c>
      <c r="E19" s="8">
        <v>45727.395833333336</v>
      </c>
    </row>
    <row r="20" ht="30" customHeight="1">
      <c r="A20" s="1" t="s">
        <v>25</v>
      </c>
      <c r="B20" s="4">
        <v>195</v>
      </c>
      <c r="C20" s="3">
        <v>1</v>
      </c>
      <c r="D20" s="11">
        <v>1</v>
      </c>
      <c r="E20" s="8">
        <v>45732.395833333336</v>
      </c>
    </row>
    <row r="21" ht="30" customHeight="1">
      <c r="A21" s="1" t="s">
        <v>33</v>
      </c>
      <c r="B21" s="4">
        <v>11480</v>
      </c>
      <c r="C21" s="3">
        <v>2</v>
      </c>
      <c r="D21" s="11">
        <v>1</v>
      </c>
      <c r="E21" s="8">
        <v>45738.395833333336</v>
      </c>
    </row>
    <row r="22" ht="30" customHeight="1">
      <c r="A22" s="1" t="s">
        <v>1</v>
      </c>
      <c r="B22" s="4">
        <v>12550</v>
      </c>
      <c r="C22" s="3">
        <v>2</v>
      </c>
      <c r="D22" s="11">
        <v>0.5</v>
      </c>
      <c r="E22" s="8">
        <v>45724.395833333336</v>
      </c>
    </row>
    <row r="23" ht="30" customHeight="1">
      <c r="A23" s="1" t="s">
        <v>13</v>
      </c>
      <c r="B23" s="4">
        <v>4996</v>
      </c>
      <c r="C23" s="3">
        <v>3</v>
      </c>
      <c r="D23" s="11">
        <v>0.6666666666666666</v>
      </c>
      <c r="E23" s="8">
        <v>45728.395833333336</v>
      </c>
    </row>
    <row r="24" ht="30" customHeight="1">
      <c r="A24" s="1" t="s">
        <v>25</v>
      </c>
      <c r="B24" s="4">
        <v>195</v>
      </c>
      <c r="C24" s="3">
        <v>1</v>
      </c>
      <c r="D24" s="11">
        <v>1</v>
      </c>
      <c r="E24" s="8">
        <v>45733.395833333336</v>
      </c>
    </row>
    <row r="25" ht="30" customHeight="1">
      <c r="A25" s="1" t="s">
        <v>33</v>
      </c>
      <c r="B25" s="4">
        <v>11480</v>
      </c>
      <c r="C25" s="3">
        <v>2</v>
      </c>
      <c r="D25" s="11">
        <v>1</v>
      </c>
      <c r="E25" s="8">
        <v>45739.395833333336</v>
      </c>
    </row>
    <row r="26" ht="30" customHeight="1">
      <c r="A26" s="1" t="s">
        <v>1</v>
      </c>
      <c r="B26" s="4">
        <v>12550</v>
      </c>
      <c r="C26" s="3">
        <v>2</v>
      </c>
      <c r="D26" s="11">
        <v>0.5</v>
      </c>
      <c r="E26" s="8">
        <v>45725.395833333336</v>
      </c>
    </row>
    <row r="27" ht="30" customHeight="1">
      <c r="A27" s="1" t="s">
        <v>13</v>
      </c>
      <c r="B27" s="4">
        <v>4996</v>
      </c>
      <c r="C27" s="3">
        <v>3</v>
      </c>
      <c r="D27" s="11">
        <v>0.6666666666666666</v>
      </c>
      <c r="E27" s="8">
        <v>45729.395833333336</v>
      </c>
    </row>
    <row r="28" ht="30" customHeight="1">
      <c r="A28" s="1" t="s">
        <v>25</v>
      </c>
      <c r="B28" s="4">
        <v>195</v>
      </c>
      <c r="C28" s="3">
        <v>1</v>
      </c>
      <c r="D28" s="11">
        <v>1</v>
      </c>
      <c r="E28" s="8">
        <v>45734.395833333336</v>
      </c>
    </row>
    <row r="29" ht="30" customHeight="1">
      <c r="A29" s="1" t="s">
        <v>33</v>
      </c>
      <c r="B29" s="4">
        <v>11480</v>
      </c>
      <c r="C29" s="3">
        <v>2</v>
      </c>
      <c r="D29" s="11">
        <v>1</v>
      </c>
      <c r="E29" s="8">
        <v>45740.395833333336</v>
      </c>
    </row>
    <row r="30" ht="30" customHeight="1">
      <c r="A30" s="1" t="s">
        <v>1</v>
      </c>
      <c r="B30" s="4">
        <v>12550</v>
      </c>
      <c r="C30" s="3">
        <v>2</v>
      </c>
      <c r="D30" s="11">
        <v>0.5</v>
      </c>
      <c r="E30" s="8">
        <v>45726.395833333336</v>
      </c>
    </row>
    <row r="31" ht="30" customHeight="1">
      <c r="A31" s="1" t="s">
        <v>13</v>
      </c>
      <c r="B31" s="4">
        <v>4996</v>
      </c>
      <c r="C31" s="3">
        <v>3</v>
      </c>
      <c r="D31" s="11">
        <v>0.6666666666666666</v>
      </c>
      <c r="E31" s="8">
        <v>45730.395833333336</v>
      </c>
    </row>
    <row r="32" ht="30" customHeight="1">
      <c r="A32" s="1" t="s">
        <v>25</v>
      </c>
      <c r="B32" s="4">
        <v>195</v>
      </c>
      <c r="C32" s="3">
        <v>1</v>
      </c>
      <c r="D32" s="11">
        <v>1</v>
      </c>
      <c r="E32" s="8">
        <v>45735.395833333336</v>
      </c>
    </row>
    <row r="33" ht="30" customHeight="1">
      <c r="A33" s="1" t="s">
        <v>33</v>
      </c>
      <c r="B33" s="4">
        <v>11480</v>
      </c>
      <c r="C33" s="3">
        <v>2</v>
      </c>
      <c r="D33" s="11">
        <v>1</v>
      </c>
      <c r="E33" s="8">
        <v>45741.395833333336</v>
      </c>
    </row>
    <row r="34" ht="30" customHeight="1">
      <c r="A34" t="inlineStr" s="19">
        <is>
          <t>TOTAL</t>
        </is>
      </c>
      <c r="B34" s="22">
        <f>ROUND(SUM(B2:B33),2)</f>
      </c>
      <c r="C34" s="21">
        <f>SUM(C2:C33)</f>
      </c>
      <c r="D34" s="26">
        <f>ROUND(AVERAGE(D2:D33),4)</f>
      </c>
      <c r="E34" s="19"/>
    </row>
    <row r="35" ht="30" customHeight="1">
      <c r="A35" t="inlineStr" s="19">
        <is>
          <t>AVERAGE / LATEST</t>
        </is>
      </c>
      <c r="B35" s="22">
        <f>ROUND(AVERAGE(B2:B33),2)</f>
      </c>
      <c r="C35" s="21">
        <f>AVERAGE(C2:C33)</f>
      </c>
      <c r="D35" s="26">
        <f>MAX(MAX(D2:D33),0)</f>
      </c>
      <c r="E35" s="24">
        <f>MAX(MAX(E2:E33),0)</f>
      </c>
    </row>
  </sheetData>
  <conditionalFormatting sqref="B34">
    <cfRule type="expression" dxfId="0" priority="1">
      <formula>(B34&gt;=40000)</formula>
    </cfRule>
  </conditionalFormatting>
  <conditionalFormatting sqref="D34">
    <cfRule type="expression" dxfId="1" priority="2">
      <formula>(D34&lt;0.6)</formula>
    </cfRule>
    <cfRule type="expression" dxfId="0" priority="3">
      <formula>(D34&gt;=0.85)</formula>
    </cfRule>
  </conditionalFormatting>
  <conditionalFormatting sqref="B35">
    <cfRule type="expression" dxfId="1" priority="4">
      <formula>(B35&lt;5000)</formula>
    </cfRule>
    <cfRule type="expression" dxfId="0" priority="5">
      <formula>(B35&gt;=8000)</formula>
    </cfRule>
  </conditionalFormatting>
  <conditionalFormatting sqref="D35">
    <cfRule type="expression" dxfId="2" priority="6">
      <formula>(D35&gt;=0.95)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pane ySplit="1" topLeftCell="A2" state="frozen" activePane="bottomLeft"/>
    </sheetView>
  </sheetViews>
  <sheetFormatPr defaultRowHeight="30"/>
  <cols>
    <col min="1" max="1" width="23" customWidth="1"/>
    <col min="2" max="2" width="13" customWidth="1"/>
    <col min="3" max="3" width="17" customWidth="1"/>
    <col min="4" max="4" width="15" customWidth="1"/>
    <col min="5" max="5" width="15" customWidth="1"/>
    <col min="6" max="6" width="17" customWidth="1"/>
    <col min="7" max="7" width="17" customWidth="1"/>
    <col min="8" max="8" width="17" customWidth="1"/>
    <col min="9" max="9" width="17" customWidth="1"/>
    <col min="10" max="10" width="15" customWidth="1"/>
  </cols>
  <sheetData>
    <row r="1" ht="30" customHeight="1">
      <c r="A1" t="inlineStr" s="25">
        <is>
          <t>Customer</t>
        </is>
      </c>
      <c r="B1" t="inlineStr" s="25">
        <is>
          <t>Qty</t>
        </is>
      </c>
      <c r="C1" t="inlineStr" s="25">
        <is>
          <t>Unit Price</t>
        </is>
      </c>
      <c r="D1" t="inlineStr" s="25">
        <is>
          <t>Discount</t>
        </is>
      </c>
      <c r="E1" t="inlineStr" s="25">
        <is>
          <t>Activated</t>
        </is>
      </c>
      <c r="F1" t="inlineStr" s="25">
        <is>
          <t>Gross</t>
        </is>
      </c>
      <c r="G1" t="inlineStr" s="25">
        <is>
          <t>Net</t>
        </is>
      </c>
      <c r="H1" t="inlineStr" s="25">
        <is>
          <t>Utilization</t>
        </is>
      </c>
      <c r="I1" t="inlineStr" s="25">
        <is>
          <t>Segment</t>
        </is>
      </c>
      <c r="J1" t="inlineStr" s="25">
        <is>
          <t>Risk</t>
        </is>
      </c>
    </row>
    <row r="2" ht="30" customHeight="1">
      <c r="A2" s="1" t="s">
        <v>1</v>
      </c>
      <c r="B2" s="3">
        <v>9</v>
      </c>
      <c r="C2" s="4">
        <v>1200</v>
      </c>
      <c r="D2" s="12">
        <v>0.18</v>
      </c>
      <c r="E2" s="3">
        <v>8</v>
      </c>
      <c r="F2" s="4">
        <f>ROUND((B2*C2),2)</f>
      </c>
      <c r="G2" s="4">
        <f>ROUND((F2*(1-D2)),2)</f>
      </c>
      <c r="H2" s="11">
        <f>IF((B2&gt;0),ROUND((E2/B2),4),0)</f>
      </c>
      <c r="I2" s="1">
        <f>IF(OR((G2&gt;=5000),(H2&gt;=0.85)),"HIGH",IF((D2&gt;=0.15),"WATCH","STANDARD"))</f>
      </c>
      <c r="J2" s="1">
        <f>IF(OR((I2="WATCH"),(H2&lt;0.5)),"REVIEW","OK")</f>
      </c>
    </row>
    <row r="3" ht="30" customHeight="1">
      <c r="A3" s="1" t="s">
        <v>13</v>
      </c>
      <c r="B3" s="3">
        <v>27</v>
      </c>
      <c r="C3" s="4">
        <v>643</v>
      </c>
      <c r="D3" s="12">
        <v>0.1</v>
      </c>
      <c r="E3" s="3">
        <v>26</v>
      </c>
      <c r="F3" s="4">
        <f>ROUND((B3*C3),2)</f>
      </c>
      <c r="G3" s="4">
        <f>ROUND((F3*(1-D3)),2)</f>
      </c>
      <c r="H3" s="11">
        <f>IF((B3&gt;0),ROUND((E3/B3),4),0)</f>
      </c>
      <c r="I3" s="1">
        <f>IF(OR((G3&gt;=5000),(H3&gt;=0.85)),"HIGH",IF((D3&gt;=0.15),"WATCH","STANDARD"))</f>
      </c>
      <c r="J3" s="1">
        <f>IF(OR((I3="WATCH"),(H3&lt;0.5)),"REVIEW","OK")</f>
      </c>
    </row>
    <row r="4" ht="30" customHeight="1">
      <c r="A4" s="1" t="s">
        <v>25</v>
      </c>
      <c r="B4" s="3">
        <v>5</v>
      </c>
      <c r="C4" s="4">
        <v>39</v>
      </c>
      <c r="D4" s="12">
        <v>0.03</v>
      </c>
      <c r="E4" s="3">
        <v>5</v>
      </c>
      <c r="F4" s="4">
        <f>ROUND((B4*C4),2)</f>
      </c>
      <c r="G4" s="4">
        <f>ROUND((F4*(1-D4)),2)</f>
      </c>
      <c r="H4" s="11">
        <f>IF((B4&gt;0),ROUND((E4/B4),4),0)</f>
      </c>
      <c r="I4" s="1">
        <f>IF(OR((G4&gt;=5000),(H4&gt;=0.85)),"HIGH",IF((D4&gt;=0.15),"WATCH","STANDARD"))</f>
      </c>
      <c r="J4" s="1">
        <f>IF(OR((I4="WATCH"),(H4&lt;0.5)),"REVIEW","OK")</f>
      </c>
    </row>
    <row r="5" ht="30" customHeight="1">
      <c r="A5" s="1" t="s">
        <v>33</v>
      </c>
      <c r="B5" s="3">
        <v>16</v>
      </c>
      <c r="C5" s="4">
        <v>1310</v>
      </c>
      <c r="D5" s="12">
        <v>0.18</v>
      </c>
      <c r="E5" s="3">
        <v>16</v>
      </c>
      <c r="F5" s="4">
        <f>ROUND((B5*C5),2)</f>
      </c>
      <c r="G5" s="4">
        <f>ROUND((F5*(1-D5)),2)</f>
      </c>
      <c r="H5" s="11">
        <f>IF((B5&gt;0),ROUND((E5/B5),4),0)</f>
      </c>
      <c r="I5" s="1">
        <f>IF(OR((G5&gt;=5000),(H5&gt;=0.85)),"HIGH",IF((D5&gt;=0.15),"WATCH","STANDARD"))</f>
      </c>
      <c r="J5" s="1">
        <f>IF(OR((I5="WATCH"),(H5&lt;0.5)),"REVIEW","OK")</f>
      </c>
    </row>
    <row r="6" ht="30" customHeight="1">
      <c r="A6" s="1" t="s">
        <v>1</v>
      </c>
      <c r="B6" s="3">
        <v>9</v>
      </c>
      <c r="C6" s="4">
        <v>1200</v>
      </c>
      <c r="D6" s="12">
        <v>0.18</v>
      </c>
      <c r="E6" s="3">
        <v>8</v>
      </c>
      <c r="F6" s="4">
        <f>ROUND((B6*C6),2)</f>
      </c>
      <c r="G6" s="4">
        <f>ROUND((F6*(1-D6)),2)</f>
      </c>
      <c r="H6" s="11">
        <f>IF((B6&gt;0),ROUND((E6/B6),4),0)</f>
      </c>
      <c r="I6" s="1">
        <f>IF(OR((G6&gt;=5000),(H6&gt;=0.85)),"HIGH",IF((D6&gt;=0.15),"WATCH","STANDARD"))</f>
      </c>
      <c r="J6" s="1">
        <f>IF(OR((I6="WATCH"),(H6&lt;0.5)),"REVIEW","OK")</f>
      </c>
    </row>
    <row r="7" ht="30" customHeight="1">
      <c r="A7" s="1" t="s">
        <v>13</v>
      </c>
      <c r="B7" s="3">
        <v>27</v>
      </c>
      <c r="C7" s="4">
        <v>643</v>
      </c>
      <c r="D7" s="12">
        <v>0.1</v>
      </c>
      <c r="E7" s="3">
        <v>26</v>
      </c>
      <c r="F7" s="4">
        <f>ROUND((B7*C7),2)</f>
      </c>
      <c r="G7" s="4">
        <f>ROUND((F7*(1-D7)),2)</f>
      </c>
      <c r="H7" s="11">
        <f>IF((B7&gt;0),ROUND((E7/B7),4),0)</f>
      </c>
      <c r="I7" s="1">
        <f>IF(OR((G7&gt;=5000),(H7&gt;=0.85)),"HIGH",IF((D7&gt;=0.15),"WATCH","STANDARD"))</f>
      </c>
      <c r="J7" s="1">
        <f>IF(OR((I7="WATCH"),(H7&lt;0.5)),"REVIEW","OK")</f>
      </c>
    </row>
    <row r="8" ht="30" customHeight="1">
      <c r="A8" s="1" t="s">
        <v>25</v>
      </c>
      <c r="B8" s="3">
        <v>5</v>
      </c>
      <c r="C8" s="4">
        <v>39</v>
      </c>
      <c r="D8" s="12">
        <v>0.03</v>
      </c>
      <c r="E8" s="3">
        <v>5</v>
      </c>
      <c r="F8" s="4">
        <f>ROUND((B8*C8),2)</f>
      </c>
      <c r="G8" s="4">
        <f>ROUND((F8*(1-D8)),2)</f>
      </c>
      <c r="H8" s="11">
        <f>IF((B8&gt;0),ROUND((E8/B8),4),0)</f>
      </c>
      <c r="I8" s="1">
        <f>IF(OR((G8&gt;=5000),(H8&gt;=0.85)),"HIGH",IF((D8&gt;=0.15),"WATCH","STANDARD"))</f>
      </c>
      <c r="J8" s="1">
        <f>IF(OR((I8="WATCH"),(H8&lt;0.5)),"REVIEW","OK")</f>
      </c>
    </row>
    <row r="9" ht="30" customHeight="1">
      <c r="A9" s="1" t="s">
        <v>33</v>
      </c>
      <c r="B9" s="3">
        <v>16</v>
      </c>
      <c r="C9" s="4">
        <v>1310</v>
      </c>
      <c r="D9" s="12">
        <v>0.18</v>
      </c>
      <c r="E9" s="3">
        <v>16</v>
      </c>
      <c r="F9" s="4">
        <f>ROUND((B9*C9),2)</f>
      </c>
      <c r="G9" s="4">
        <f>ROUND((F9*(1-D9)),2)</f>
      </c>
      <c r="H9" s="11">
        <f>IF((B9&gt;0),ROUND((E9/B9),4),0)</f>
      </c>
      <c r="I9" s="1">
        <f>IF(OR((G9&gt;=5000),(H9&gt;=0.85)),"HIGH",IF((D9&gt;=0.15),"WATCH","STANDARD"))</f>
      </c>
      <c r="J9" s="1">
        <f>IF(OR((I9="WATCH"),(H9&lt;0.5)),"REVIEW","OK")</f>
      </c>
    </row>
    <row r="10" ht="30" customHeight="1">
      <c r="A10" s="1" t="s">
        <v>1</v>
      </c>
      <c r="B10" s="3">
        <v>9</v>
      </c>
      <c r="C10" s="4">
        <v>1200</v>
      </c>
      <c r="D10" s="12">
        <v>0.18</v>
      </c>
      <c r="E10" s="3">
        <v>8</v>
      </c>
      <c r="F10" s="4">
        <f>ROUND((B10*C10),2)</f>
      </c>
      <c r="G10" s="4">
        <f>ROUND((F10*(1-D10)),2)</f>
      </c>
      <c r="H10" s="11">
        <f>IF((B10&gt;0),ROUND((E10/B10),4),0)</f>
      </c>
      <c r="I10" s="1">
        <f>IF(OR((G10&gt;=5000),(H10&gt;=0.85)),"HIGH",IF((D10&gt;=0.15),"WATCH","STANDARD"))</f>
      </c>
      <c r="J10" s="1">
        <f>IF(OR((I10="WATCH"),(H10&lt;0.5)),"REVIEW","OK")</f>
      </c>
    </row>
    <row r="11" ht="30" customHeight="1">
      <c r="A11" s="1" t="s">
        <v>13</v>
      </c>
      <c r="B11" s="3">
        <v>27</v>
      </c>
      <c r="C11" s="4">
        <v>643</v>
      </c>
      <c r="D11" s="12">
        <v>0.1</v>
      </c>
      <c r="E11" s="3">
        <v>26</v>
      </c>
      <c r="F11" s="4">
        <f>ROUND((B11*C11),2)</f>
      </c>
      <c r="G11" s="4">
        <f>ROUND((F11*(1-D11)),2)</f>
      </c>
      <c r="H11" s="11">
        <f>IF((B11&gt;0),ROUND((E11/B11),4),0)</f>
      </c>
      <c r="I11" s="1">
        <f>IF(OR((G11&gt;=5000),(H11&gt;=0.85)),"HIGH",IF((D11&gt;=0.15),"WATCH","STANDARD"))</f>
      </c>
      <c r="J11" s="1">
        <f>IF(OR((I11="WATCH"),(H11&lt;0.5)),"REVIEW","OK")</f>
      </c>
    </row>
    <row r="12" ht="30" customHeight="1">
      <c r="A12" s="1" t="s">
        <v>25</v>
      </c>
      <c r="B12" s="3">
        <v>5</v>
      </c>
      <c r="C12" s="4">
        <v>39</v>
      </c>
      <c r="D12" s="12">
        <v>0.03</v>
      </c>
      <c r="E12" s="3">
        <v>5</v>
      </c>
      <c r="F12" s="4">
        <f>ROUND((B12*C12),2)</f>
      </c>
      <c r="G12" s="4">
        <f>ROUND((F12*(1-D12)),2)</f>
      </c>
      <c r="H12" s="11">
        <f>IF((B12&gt;0),ROUND((E12/B12),4),0)</f>
      </c>
      <c r="I12" s="1">
        <f>IF(OR((G12&gt;=5000),(H12&gt;=0.85)),"HIGH",IF((D12&gt;=0.15),"WATCH","STANDARD"))</f>
      </c>
      <c r="J12" s="1">
        <f>IF(OR((I12="WATCH"),(H12&lt;0.5)),"REVIEW","OK")</f>
      </c>
    </row>
    <row r="13" ht="30" customHeight="1">
      <c r="A13" s="1" t="s">
        <v>33</v>
      </c>
      <c r="B13" s="3">
        <v>16</v>
      </c>
      <c r="C13" s="4">
        <v>1310</v>
      </c>
      <c r="D13" s="12">
        <v>0.18</v>
      </c>
      <c r="E13" s="3">
        <v>16</v>
      </c>
      <c r="F13" s="4">
        <f>ROUND((B13*C13),2)</f>
      </c>
      <c r="G13" s="4">
        <f>ROUND((F13*(1-D13)),2)</f>
      </c>
      <c r="H13" s="11">
        <f>IF((B13&gt;0),ROUND((E13/B13),4),0)</f>
      </c>
      <c r="I13" s="1">
        <f>IF(OR((G13&gt;=5000),(H13&gt;=0.85)),"HIGH",IF((D13&gt;=0.15),"WATCH","STANDARD"))</f>
      </c>
      <c r="J13" s="1">
        <f>IF(OR((I13="WATCH"),(H13&lt;0.5)),"REVIEW","OK")</f>
      </c>
    </row>
    <row r="14" ht="30" customHeight="1">
      <c r="A14" s="1" t="s">
        <v>1</v>
      </c>
      <c r="B14" s="3">
        <v>9</v>
      </c>
      <c r="C14" s="4">
        <v>1200</v>
      </c>
      <c r="D14" s="12">
        <v>0.18</v>
      </c>
      <c r="E14" s="3">
        <v>8</v>
      </c>
      <c r="F14" s="4">
        <f>ROUND((B14*C14),2)</f>
      </c>
      <c r="G14" s="4">
        <f>ROUND((F14*(1-D14)),2)</f>
      </c>
      <c r="H14" s="11">
        <f>IF((B14&gt;0),ROUND((E14/B14),4),0)</f>
      </c>
      <c r="I14" s="1">
        <f>IF(OR((G14&gt;=5000),(H14&gt;=0.85)),"HIGH",IF((D14&gt;=0.15),"WATCH","STANDARD"))</f>
      </c>
      <c r="J14" s="1">
        <f>IF(OR((I14="WATCH"),(H14&lt;0.5)),"REVIEW","OK")</f>
      </c>
    </row>
    <row r="15" ht="30" customHeight="1">
      <c r="A15" s="1" t="s">
        <v>13</v>
      </c>
      <c r="B15" s="3">
        <v>27</v>
      </c>
      <c r="C15" s="4">
        <v>643</v>
      </c>
      <c r="D15" s="12">
        <v>0.1</v>
      </c>
      <c r="E15" s="3">
        <v>26</v>
      </c>
      <c r="F15" s="4">
        <f>ROUND((B15*C15),2)</f>
      </c>
      <c r="G15" s="4">
        <f>ROUND((F15*(1-D15)),2)</f>
      </c>
      <c r="H15" s="11">
        <f>IF((B15&gt;0),ROUND((E15/B15),4),0)</f>
      </c>
      <c r="I15" s="1">
        <f>IF(OR((G15&gt;=5000),(H15&gt;=0.85)),"HIGH",IF((D15&gt;=0.15),"WATCH","STANDARD"))</f>
      </c>
      <c r="J15" s="1">
        <f>IF(OR((I15="WATCH"),(H15&lt;0.5)),"REVIEW","OK")</f>
      </c>
    </row>
    <row r="16" ht="30" customHeight="1">
      <c r="A16" s="1" t="s">
        <v>25</v>
      </c>
      <c r="B16" s="3">
        <v>5</v>
      </c>
      <c r="C16" s="4">
        <v>39</v>
      </c>
      <c r="D16" s="12">
        <v>0.03</v>
      </c>
      <c r="E16" s="3">
        <v>5</v>
      </c>
      <c r="F16" s="4">
        <f>ROUND((B16*C16),2)</f>
      </c>
      <c r="G16" s="4">
        <f>ROUND((F16*(1-D16)),2)</f>
      </c>
      <c r="H16" s="11">
        <f>IF((B16&gt;0),ROUND((E16/B16),4),0)</f>
      </c>
      <c r="I16" s="1">
        <f>IF(OR((G16&gt;=5000),(H16&gt;=0.85)),"HIGH",IF((D16&gt;=0.15),"WATCH","STANDARD"))</f>
      </c>
      <c r="J16" s="1">
        <f>IF(OR((I16="WATCH"),(H16&lt;0.5)),"REVIEW","OK")</f>
      </c>
    </row>
    <row r="17" ht="30" customHeight="1">
      <c r="A17" s="1" t="s">
        <v>33</v>
      </c>
      <c r="B17" s="3">
        <v>16</v>
      </c>
      <c r="C17" s="4">
        <v>1310</v>
      </c>
      <c r="D17" s="12">
        <v>0.18</v>
      </c>
      <c r="E17" s="3">
        <v>16</v>
      </c>
      <c r="F17" s="4">
        <f>ROUND((B17*C17),2)</f>
      </c>
      <c r="G17" s="4">
        <f>ROUND((F17*(1-D17)),2)</f>
      </c>
      <c r="H17" s="11">
        <f>IF((B17&gt;0),ROUND((E17/B17),4),0)</f>
      </c>
      <c r="I17" s="1">
        <f>IF(OR((G17&gt;=5000),(H17&gt;=0.85)),"HIGH",IF((D17&gt;=0.15),"WATCH","STANDARD"))</f>
      </c>
      <c r="J17" s="1">
        <f>IF(OR((I17="WATCH"),(H17&lt;0.5)),"REVIEW","OK")</f>
      </c>
    </row>
    <row r="18" ht="30" customHeight="1">
      <c r="A18" s="1" t="s">
        <v>1</v>
      </c>
      <c r="B18" s="3">
        <v>9</v>
      </c>
      <c r="C18" s="4">
        <v>1200</v>
      </c>
      <c r="D18" s="12">
        <v>0.18</v>
      </c>
      <c r="E18" s="3">
        <v>8</v>
      </c>
      <c r="F18" s="4">
        <f>ROUND((B18*C18),2)</f>
      </c>
      <c r="G18" s="4">
        <f>ROUND((F18*(1-D18)),2)</f>
      </c>
      <c r="H18" s="11">
        <f>IF((B18&gt;0),ROUND((E18/B18),4),0)</f>
      </c>
      <c r="I18" s="1">
        <f>IF(OR((G18&gt;=5000),(H18&gt;=0.85)),"HIGH",IF((D18&gt;=0.15),"WATCH","STANDARD"))</f>
      </c>
      <c r="J18" s="1">
        <f>IF(OR((I18="WATCH"),(H18&lt;0.5)),"REVIEW","OK")</f>
      </c>
    </row>
    <row r="19" ht="30" customHeight="1">
      <c r="A19" s="1" t="s">
        <v>13</v>
      </c>
      <c r="B19" s="3">
        <v>27</v>
      </c>
      <c r="C19" s="4">
        <v>643</v>
      </c>
      <c r="D19" s="12">
        <v>0.1</v>
      </c>
      <c r="E19" s="3">
        <v>26</v>
      </c>
      <c r="F19" s="4">
        <f>ROUND((B19*C19),2)</f>
      </c>
      <c r="G19" s="4">
        <f>ROUND((F19*(1-D19)),2)</f>
      </c>
      <c r="H19" s="11">
        <f>IF((B19&gt;0),ROUND((E19/B19),4),0)</f>
      </c>
      <c r="I19" s="1">
        <f>IF(OR((G19&gt;=5000),(H19&gt;=0.85)),"HIGH",IF((D19&gt;=0.15),"WATCH","STANDARD"))</f>
      </c>
      <c r="J19" s="1">
        <f>IF(OR((I19="WATCH"),(H19&lt;0.5)),"REVIEW","OK")</f>
      </c>
    </row>
    <row r="20" ht="30" customHeight="1">
      <c r="A20" s="1" t="s">
        <v>25</v>
      </c>
      <c r="B20" s="3">
        <v>5</v>
      </c>
      <c r="C20" s="4">
        <v>39</v>
      </c>
      <c r="D20" s="12">
        <v>0.03</v>
      </c>
      <c r="E20" s="3">
        <v>5</v>
      </c>
      <c r="F20" s="4">
        <f>ROUND((B20*C20),2)</f>
      </c>
      <c r="G20" s="4">
        <f>ROUND((F20*(1-D20)),2)</f>
      </c>
      <c r="H20" s="11">
        <f>IF((B20&gt;0),ROUND((E20/B20),4),0)</f>
      </c>
      <c r="I20" s="1">
        <f>IF(OR((G20&gt;=5000),(H20&gt;=0.85)),"HIGH",IF((D20&gt;=0.15),"WATCH","STANDARD"))</f>
      </c>
      <c r="J20" s="1">
        <f>IF(OR((I20="WATCH"),(H20&lt;0.5)),"REVIEW","OK")</f>
      </c>
    </row>
    <row r="21" ht="30" customHeight="1">
      <c r="A21" s="1" t="s">
        <v>33</v>
      </c>
      <c r="B21" s="3">
        <v>16</v>
      </c>
      <c r="C21" s="4">
        <v>1310</v>
      </c>
      <c r="D21" s="12">
        <v>0.18</v>
      </c>
      <c r="E21" s="3">
        <v>16</v>
      </c>
      <c r="F21" s="4">
        <f>ROUND((B21*C21),2)</f>
      </c>
      <c r="G21" s="4">
        <f>ROUND((F21*(1-D21)),2)</f>
      </c>
      <c r="H21" s="11">
        <f>IF((B21&gt;0),ROUND((E21/B21),4),0)</f>
      </c>
      <c r="I21" s="1">
        <f>IF(OR((G21&gt;=5000),(H21&gt;=0.85)),"HIGH",IF((D21&gt;=0.15),"WATCH","STANDARD"))</f>
      </c>
      <c r="J21" s="1">
        <f>IF(OR((I21="WATCH"),(H21&lt;0.5)),"REVIEW","OK")</f>
      </c>
    </row>
    <row r="22" ht="30" customHeight="1">
      <c r="A22" s="1" t="s">
        <v>1</v>
      </c>
      <c r="B22" s="3">
        <v>9</v>
      </c>
      <c r="C22" s="4">
        <v>1200</v>
      </c>
      <c r="D22" s="12">
        <v>0.18</v>
      </c>
      <c r="E22" s="3">
        <v>8</v>
      </c>
      <c r="F22" s="4">
        <f>ROUND((B22*C22),2)</f>
      </c>
      <c r="G22" s="4">
        <f>ROUND((F22*(1-D22)),2)</f>
      </c>
      <c r="H22" s="11">
        <f>IF((B22&gt;0),ROUND((E22/B22),4),0)</f>
      </c>
      <c r="I22" s="1">
        <f>IF(OR((G22&gt;=5000),(H22&gt;=0.85)),"HIGH",IF((D22&gt;=0.15),"WATCH","STANDARD"))</f>
      </c>
      <c r="J22" s="1">
        <f>IF(OR((I22="WATCH"),(H22&lt;0.5)),"REVIEW","OK")</f>
      </c>
    </row>
    <row r="23" ht="30" customHeight="1">
      <c r="A23" s="1" t="s">
        <v>13</v>
      </c>
      <c r="B23" s="3">
        <v>27</v>
      </c>
      <c r="C23" s="4">
        <v>643</v>
      </c>
      <c r="D23" s="12">
        <v>0.1</v>
      </c>
      <c r="E23" s="3">
        <v>26</v>
      </c>
      <c r="F23" s="4">
        <f>ROUND((B23*C23),2)</f>
      </c>
      <c r="G23" s="4">
        <f>ROUND((F23*(1-D23)),2)</f>
      </c>
      <c r="H23" s="11">
        <f>IF((B23&gt;0),ROUND((E23/B23),4),0)</f>
      </c>
      <c r="I23" s="1">
        <f>IF(OR((G23&gt;=5000),(H23&gt;=0.85)),"HIGH",IF((D23&gt;=0.15),"WATCH","STANDARD"))</f>
      </c>
      <c r="J23" s="1">
        <f>IF(OR((I23="WATCH"),(H23&lt;0.5)),"REVIEW","OK")</f>
      </c>
    </row>
    <row r="24" ht="30" customHeight="1">
      <c r="A24" s="1" t="s">
        <v>25</v>
      </c>
      <c r="B24" s="3">
        <v>5</v>
      </c>
      <c r="C24" s="4">
        <v>39</v>
      </c>
      <c r="D24" s="12">
        <v>0.03</v>
      </c>
      <c r="E24" s="3">
        <v>5</v>
      </c>
      <c r="F24" s="4">
        <f>ROUND((B24*C24),2)</f>
      </c>
      <c r="G24" s="4">
        <f>ROUND((F24*(1-D24)),2)</f>
      </c>
      <c r="H24" s="11">
        <f>IF((B24&gt;0),ROUND((E24/B24),4),0)</f>
      </c>
      <c r="I24" s="1">
        <f>IF(OR((G24&gt;=5000),(H24&gt;=0.85)),"HIGH",IF((D24&gt;=0.15),"WATCH","STANDARD"))</f>
      </c>
      <c r="J24" s="1">
        <f>IF(OR((I24="WATCH"),(H24&lt;0.5)),"REVIEW","OK")</f>
      </c>
    </row>
    <row r="25" ht="30" customHeight="1">
      <c r="A25" s="1" t="s">
        <v>33</v>
      </c>
      <c r="B25" s="3">
        <v>16</v>
      </c>
      <c r="C25" s="4">
        <v>1310</v>
      </c>
      <c r="D25" s="12">
        <v>0.18</v>
      </c>
      <c r="E25" s="3">
        <v>16</v>
      </c>
      <c r="F25" s="4">
        <f>ROUND((B25*C25),2)</f>
      </c>
      <c r="G25" s="4">
        <f>ROUND((F25*(1-D25)),2)</f>
      </c>
      <c r="H25" s="11">
        <f>IF((B25&gt;0),ROUND((E25/B25),4),0)</f>
      </c>
      <c r="I25" s="1">
        <f>IF(OR((G25&gt;=5000),(H25&gt;=0.85)),"HIGH",IF((D25&gt;=0.15),"WATCH","STANDARD"))</f>
      </c>
      <c r="J25" s="1">
        <f>IF(OR((I25="WATCH"),(H25&lt;0.5)),"REVIEW","OK")</f>
      </c>
    </row>
    <row r="26" ht="30" customHeight="1">
      <c r="A26" s="1" t="s">
        <v>1</v>
      </c>
      <c r="B26" s="3">
        <v>9</v>
      </c>
      <c r="C26" s="4">
        <v>1200</v>
      </c>
      <c r="D26" s="12">
        <v>0.18</v>
      </c>
      <c r="E26" s="3">
        <v>8</v>
      </c>
      <c r="F26" s="4">
        <f>ROUND((B26*C26),2)</f>
      </c>
      <c r="G26" s="4">
        <f>ROUND((F26*(1-D26)),2)</f>
      </c>
      <c r="H26" s="11">
        <f>IF((B26&gt;0),ROUND((E26/B26),4),0)</f>
      </c>
      <c r="I26" s="1">
        <f>IF(OR((G26&gt;=5000),(H26&gt;=0.85)),"HIGH",IF((D26&gt;=0.15),"WATCH","STANDARD"))</f>
      </c>
      <c r="J26" s="1">
        <f>IF(OR((I26="WATCH"),(H26&lt;0.5)),"REVIEW","OK")</f>
      </c>
    </row>
    <row r="27" ht="30" customHeight="1">
      <c r="A27" s="1" t="s">
        <v>13</v>
      </c>
      <c r="B27" s="3">
        <v>27</v>
      </c>
      <c r="C27" s="4">
        <v>643</v>
      </c>
      <c r="D27" s="12">
        <v>0.1</v>
      </c>
      <c r="E27" s="3">
        <v>26</v>
      </c>
      <c r="F27" s="4">
        <f>ROUND((B27*C27),2)</f>
      </c>
      <c r="G27" s="4">
        <f>ROUND((F27*(1-D27)),2)</f>
      </c>
      <c r="H27" s="11">
        <f>IF((B27&gt;0),ROUND((E27/B27),4),0)</f>
      </c>
      <c r="I27" s="1">
        <f>IF(OR((G27&gt;=5000),(H27&gt;=0.85)),"HIGH",IF((D27&gt;=0.15),"WATCH","STANDARD"))</f>
      </c>
      <c r="J27" s="1">
        <f>IF(OR((I27="WATCH"),(H27&lt;0.5)),"REVIEW","OK")</f>
      </c>
    </row>
    <row r="28" ht="30" customHeight="1">
      <c r="A28" s="1" t="s">
        <v>25</v>
      </c>
      <c r="B28" s="3">
        <v>5</v>
      </c>
      <c r="C28" s="4">
        <v>39</v>
      </c>
      <c r="D28" s="12">
        <v>0.03</v>
      </c>
      <c r="E28" s="3">
        <v>5</v>
      </c>
      <c r="F28" s="4">
        <f>ROUND((B28*C28),2)</f>
      </c>
      <c r="G28" s="4">
        <f>ROUND((F28*(1-D28)),2)</f>
      </c>
      <c r="H28" s="11">
        <f>IF((B28&gt;0),ROUND((E28/B28),4),0)</f>
      </c>
      <c r="I28" s="1">
        <f>IF(OR((G28&gt;=5000),(H28&gt;=0.85)),"HIGH",IF((D28&gt;=0.15),"WATCH","STANDARD"))</f>
      </c>
      <c r="J28" s="1">
        <f>IF(OR((I28="WATCH"),(H28&lt;0.5)),"REVIEW","OK")</f>
      </c>
    </row>
    <row r="29" ht="30" customHeight="1">
      <c r="A29" s="1" t="s">
        <v>33</v>
      </c>
      <c r="B29" s="3">
        <v>16</v>
      </c>
      <c r="C29" s="4">
        <v>1310</v>
      </c>
      <c r="D29" s="12">
        <v>0.18</v>
      </c>
      <c r="E29" s="3">
        <v>16</v>
      </c>
      <c r="F29" s="4">
        <f>ROUND((B29*C29),2)</f>
      </c>
      <c r="G29" s="4">
        <f>ROUND((F29*(1-D29)),2)</f>
      </c>
      <c r="H29" s="11">
        <f>IF((B29&gt;0),ROUND((E29/B29),4),0)</f>
      </c>
      <c r="I29" s="1">
        <f>IF(OR((G29&gt;=5000),(H29&gt;=0.85)),"HIGH",IF((D29&gt;=0.15),"WATCH","STANDARD"))</f>
      </c>
      <c r="J29" s="1">
        <f>IF(OR((I29="WATCH"),(H29&lt;0.5)),"REVIEW","OK")</f>
      </c>
    </row>
    <row r="30" ht="30" customHeight="1">
      <c r="A30" s="1" t="s">
        <v>1</v>
      </c>
      <c r="B30" s="3">
        <v>9</v>
      </c>
      <c r="C30" s="4">
        <v>1200</v>
      </c>
      <c r="D30" s="12">
        <v>0.18</v>
      </c>
      <c r="E30" s="3">
        <v>8</v>
      </c>
      <c r="F30" s="4">
        <f>ROUND((B30*C30),2)</f>
      </c>
      <c r="G30" s="4">
        <f>ROUND((F30*(1-D30)),2)</f>
      </c>
      <c r="H30" s="11">
        <f>IF((B30&gt;0),ROUND((E30/B30),4),0)</f>
      </c>
      <c r="I30" s="1">
        <f>IF(OR((G30&gt;=5000),(H30&gt;=0.85)),"HIGH",IF((D30&gt;=0.15),"WATCH","STANDARD"))</f>
      </c>
      <c r="J30" s="1">
        <f>IF(OR((I30="WATCH"),(H30&lt;0.5)),"REVIEW","OK")</f>
      </c>
    </row>
    <row r="31" ht="30" customHeight="1">
      <c r="A31" s="1" t="s">
        <v>13</v>
      </c>
      <c r="B31" s="3">
        <v>27</v>
      </c>
      <c r="C31" s="4">
        <v>643</v>
      </c>
      <c r="D31" s="12">
        <v>0.1</v>
      </c>
      <c r="E31" s="3">
        <v>26</v>
      </c>
      <c r="F31" s="4">
        <f>ROUND((B31*C31),2)</f>
      </c>
      <c r="G31" s="4">
        <f>ROUND((F31*(1-D31)),2)</f>
      </c>
      <c r="H31" s="11">
        <f>IF((B31&gt;0),ROUND((E31/B31),4),0)</f>
      </c>
      <c r="I31" s="1">
        <f>IF(OR((G31&gt;=5000),(H31&gt;=0.85)),"HIGH",IF((D31&gt;=0.15),"WATCH","STANDARD"))</f>
      </c>
      <c r="J31" s="1">
        <f>IF(OR((I31="WATCH"),(H31&lt;0.5)),"REVIEW","OK")</f>
      </c>
    </row>
    <row r="32" ht="30" customHeight="1">
      <c r="A32" s="1" t="s">
        <v>25</v>
      </c>
      <c r="B32" s="3">
        <v>5</v>
      </c>
      <c r="C32" s="4">
        <v>39</v>
      </c>
      <c r="D32" s="12">
        <v>0.03</v>
      </c>
      <c r="E32" s="3">
        <v>5</v>
      </c>
      <c r="F32" s="4">
        <f>ROUND((B32*C32),2)</f>
      </c>
      <c r="G32" s="4">
        <f>ROUND((F32*(1-D32)),2)</f>
      </c>
      <c r="H32" s="11">
        <f>IF((B32&gt;0),ROUND((E32/B32),4),0)</f>
      </c>
      <c r="I32" s="1">
        <f>IF(OR((G32&gt;=5000),(H32&gt;=0.85)),"HIGH",IF((D32&gt;=0.15),"WATCH","STANDARD"))</f>
      </c>
      <c r="J32" s="1">
        <f>IF(OR((I32="WATCH"),(H32&lt;0.5)),"REVIEW","OK")</f>
      </c>
    </row>
    <row r="33" ht="30" customHeight="1">
      <c r="A33" s="1" t="s">
        <v>33</v>
      </c>
      <c r="B33" s="3">
        <v>16</v>
      </c>
      <c r="C33" s="4">
        <v>1310</v>
      </c>
      <c r="D33" s="12">
        <v>0.18</v>
      </c>
      <c r="E33" s="3">
        <v>16</v>
      </c>
      <c r="F33" s="4">
        <f>ROUND((B33*C33),2)</f>
      </c>
      <c r="G33" s="4">
        <f>ROUND((F33*(1-D33)),2)</f>
      </c>
      <c r="H33" s="11">
        <f>IF((B33&gt;0),ROUND((E33/B33),4),0)</f>
      </c>
      <c r="I33" s="1">
        <f>IF(OR((G33&gt;=5000),(H33&gt;=0.85)),"HIGH",IF((D33&gt;=0.15),"WATCH","STANDARD"))</f>
      </c>
      <c r="J33" s="1">
        <f>IF(OR((I33="WATCH"),(H33&lt;0.5)),"REVIEW","OK")</f>
      </c>
    </row>
    <row r="34" ht="30" customHeight="1">
      <c r="F34" s="22">
        <f>ROUND(SUM(F2:F33),2)</f>
      </c>
      <c r="G34" s="22">
        <f>ROUND(SUM(G2:G33),2)</f>
      </c>
    </row>
  </sheetData>
  <conditionalFormatting sqref="G2:G33">
    <cfRule type="expression" dxfId="1" priority="1">
      <formula>($G2&lt;1000)</formula>
    </cfRule>
    <cfRule type="expression" dxfId="0" priority="2">
      <formula>AND(($G2&gt;=5000),(H2&gt;=0.85))</formula>
    </cfRule>
  </conditionalFormatting>
  <conditionalFormatting sqref="J2:J33">
    <cfRule type="expression" dxfId="3" priority="3">
      <formula>($J2="REVIEW")</formula>
    </cfRule>
    <cfRule type="expression" dxfId="0" priority="4">
      <formula>($J2="OK")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1" topLeftCell="A2" state="frozen" activePane="bottomLeft"/>
    </sheetView>
  </sheetViews>
  <sheetFormatPr defaultRowHeight="30"/>
  <cols>
    <col min="1" max="1" width="23" customWidth="1"/>
    <col min="2" max="2" width="17" customWidth="1"/>
    <col min="3" max="3" width="17" customWidth="1"/>
    <col min="4" max="4" width="19" customWidth="1"/>
  </cols>
  <sheetData>
    <row r="1" ht="30" customHeight="1">
      <c r="A1" t="inlineStr" s="25">
        <is>
          <t>Owner</t>
        </is>
      </c>
      <c r="B1" t="inlineStr" s="25">
        <is>
          <t>Status</t>
        </is>
      </c>
      <c r="C1" t="inlineStr" s="25">
        <is>
          <t>Amount</t>
        </is>
      </c>
      <c r="D1" t="inlineStr" s="25">
        <is>
          <t>Start Date</t>
        </is>
      </c>
    </row>
    <row r="2" ht="30" customHeight="1">
      <c r="A2" s="1" t="s">
        <v>1</v>
      </c>
      <c r="B2" s="1" t="s">
        <v>69</v>
      </c>
      <c r="C2" s="4">
        <v>12550</v>
      </c>
      <c r="D2" s="13">
        <v>45719.395833333336</v>
      </c>
    </row>
    <row r="3" ht="30" customHeight="1">
      <c r="A3" s="1" t="s">
        <v>13</v>
      </c>
      <c r="B3" s="1" t="s">
        <v>70</v>
      </c>
      <c r="C3" s="4">
        <v>4996</v>
      </c>
      <c r="D3" s="13">
        <v>45723.395833333336</v>
      </c>
    </row>
    <row r="4" ht="30" customHeight="1">
      <c r="A4" s="1" t="s">
        <v>25</v>
      </c>
      <c r="B4" s="1" t="s">
        <v>71</v>
      </c>
      <c r="C4" s="4">
        <v>195</v>
      </c>
      <c r="D4" s="13">
        <v>45728.395833333336</v>
      </c>
    </row>
    <row r="5" ht="30" customHeight="1">
      <c r="A5" s="1" t="s">
        <v>33</v>
      </c>
      <c r="B5" s="1" t="s">
        <v>69</v>
      </c>
      <c r="C5" s="4">
        <v>11480</v>
      </c>
      <c r="D5" s="13">
        <v>45734.395833333336</v>
      </c>
    </row>
    <row r="6" ht="30" customHeight="1">
      <c r="A6" s="1" t="s">
        <v>1</v>
      </c>
      <c r="B6" s="1" t="s">
        <v>69</v>
      </c>
      <c r="C6" s="4">
        <v>12550</v>
      </c>
      <c r="D6" s="13">
        <v>45720.395833333336</v>
      </c>
    </row>
    <row r="7" ht="30" customHeight="1">
      <c r="A7" s="1" t="s">
        <v>13</v>
      </c>
      <c r="B7" s="1" t="s">
        <v>70</v>
      </c>
      <c r="C7" s="4">
        <v>4996</v>
      </c>
      <c r="D7" s="13">
        <v>45724.395833333336</v>
      </c>
    </row>
    <row r="8" ht="30" customHeight="1">
      <c r="A8" s="1" t="s">
        <v>25</v>
      </c>
      <c r="B8" s="1" t="s">
        <v>71</v>
      </c>
      <c r="C8" s="4">
        <v>195</v>
      </c>
      <c r="D8" s="13">
        <v>45729.395833333336</v>
      </c>
    </row>
    <row r="9" ht="30" customHeight="1">
      <c r="A9" s="1" t="s">
        <v>33</v>
      </c>
      <c r="B9" s="1" t="s">
        <v>69</v>
      </c>
      <c r="C9" s="4">
        <v>11480</v>
      </c>
      <c r="D9" s="13">
        <v>45735.395833333336</v>
      </c>
    </row>
    <row r="10" ht="30" customHeight="1">
      <c r="A10" s="1" t="s">
        <v>1</v>
      </c>
      <c r="B10" s="1" t="s">
        <v>69</v>
      </c>
      <c r="C10" s="4">
        <v>12550</v>
      </c>
      <c r="D10" s="13">
        <v>45721.395833333336</v>
      </c>
    </row>
    <row r="11" ht="30" customHeight="1">
      <c r="A11" s="1" t="s">
        <v>13</v>
      </c>
      <c r="B11" s="1" t="s">
        <v>70</v>
      </c>
      <c r="C11" s="4">
        <v>4996</v>
      </c>
      <c r="D11" s="13">
        <v>45725.395833333336</v>
      </c>
    </row>
    <row r="12" ht="30" customHeight="1">
      <c r="A12" s="1" t="s">
        <v>25</v>
      </c>
      <c r="B12" s="1" t="s">
        <v>71</v>
      </c>
      <c r="C12" s="4">
        <v>195</v>
      </c>
      <c r="D12" s="13">
        <v>45730.395833333336</v>
      </c>
    </row>
    <row r="13" ht="30" customHeight="1">
      <c r="A13" s="1" t="s">
        <v>33</v>
      </c>
      <c r="B13" s="1" t="s">
        <v>69</v>
      </c>
      <c r="C13" s="4">
        <v>11480</v>
      </c>
      <c r="D13" s="13">
        <v>45736.395833333336</v>
      </c>
    </row>
    <row r="14" ht="30" customHeight="1">
      <c r="A14" s="1" t="s">
        <v>1</v>
      </c>
      <c r="B14" s="1" t="s">
        <v>69</v>
      </c>
      <c r="C14" s="4">
        <v>12550</v>
      </c>
      <c r="D14" s="13">
        <v>45722.395833333336</v>
      </c>
    </row>
    <row r="15" ht="30" customHeight="1">
      <c r="A15" s="1" t="s">
        <v>13</v>
      </c>
      <c r="B15" s="1" t="s">
        <v>70</v>
      </c>
      <c r="C15" s="4">
        <v>4996</v>
      </c>
      <c r="D15" s="13">
        <v>45726.395833333336</v>
      </c>
    </row>
    <row r="16" ht="30" customHeight="1">
      <c r="A16" s="1" t="s">
        <v>25</v>
      </c>
      <c r="B16" s="1" t="s">
        <v>71</v>
      </c>
      <c r="C16" s="4">
        <v>195</v>
      </c>
      <c r="D16" s="13">
        <v>45731.395833333336</v>
      </c>
    </row>
    <row r="17" ht="30" customHeight="1">
      <c r="A17" s="1" t="s">
        <v>33</v>
      </c>
      <c r="B17" s="1" t="s">
        <v>69</v>
      </c>
      <c r="C17" s="4">
        <v>11480</v>
      </c>
      <c r="D17" s="13">
        <v>45737.395833333336</v>
      </c>
    </row>
    <row r="18" ht="30" customHeight="1">
      <c r="A18" s="1" t="s">
        <v>1</v>
      </c>
      <c r="B18" s="1" t="s">
        <v>69</v>
      </c>
      <c r="C18" s="4">
        <v>12550</v>
      </c>
      <c r="D18" s="13">
        <v>45723.395833333336</v>
      </c>
    </row>
    <row r="19" ht="30" customHeight="1">
      <c r="A19" s="1" t="s">
        <v>13</v>
      </c>
      <c r="B19" s="1" t="s">
        <v>70</v>
      </c>
      <c r="C19" s="4">
        <v>4996</v>
      </c>
      <c r="D19" s="13">
        <v>45727.395833333336</v>
      </c>
    </row>
    <row r="20" ht="30" customHeight="1">
      <c r="A20" s="1" t="s">
        <v>25</v>
      </c>
      <c r="B20" s="1" t="s">
        <v>71</v>
      </c>
      <c r="C20" s="4">
        <v>195</v>
      </c>
      <c r="D20" s="13">
        <v>45732.395833333336</v>
      </c>
    </row>
    <row r="21" ht="30" customHeight="1">
      <c r="A21" s="1" t="s">
        <v>33</v>
      </c>
      <c r="B21" s="1" t="s">
        <v>69</v>
      </c>
      <c r="C21" s="4">
        <v>11480</v>
      </c>
      <c r="D21" s="13">
        <v>45738.395833333336</v>
      </c>
    </row>
    <row r="22" ht="30" customHeight="1">
      <c r="A22" s="1" t="s">
        <v>1</v>
      </c>
      <c r="B22" s="1" t="s">
        <v>69</v>
      </c>
      <c r="C22" s="4">
        <v>12550</v>
      </c>
      <c r="D22" s="13">
        <v>45724.395833333336</v>
      </c>
    </row>
    <row r="23" ht="30" customHeight="1">
      <c r="A23" s="1" t="s">
        <v>13</v>
      </c>
      <c r="B23" s="1" t="s">
        <v>70</v>
      </c>
      <c r="C23" s="4">
        <v>4996</v>
      </c>
      <c r="D23" s="13">
        <v>45728.395833333336</v>
      </c>
    </row>
    <row r="24" ht="30" customHeight="1">
      <c r="A24" s="1" t="s">
        <v>25</v>
      </c>
      <c r="B24" s="1" t="s">
        <v>71</v>
      </c>
      <c r="C24" s="4">
        <v>195</v>
      </c>
      <c r="D24" s="13">
        <v>45733.395833333336</v>
      </c>
    </row>
    <row r="25" ht="30" customHeight="1">
      <c r="A25" s="1" t="s">
        <v>33</v>
      </c>
      <c r="B25" s="1" t="s">
        <v>69</v>
      </c>
      <c r="C25" s="4">
        <v>11480</v>
      </c>
      <c r="D25" s="13">
        <v>45739.395833333336</v>
      </c>
    </row>
    <row r="26" ht="30" customHeight="1">
      <c r="A26" s="1" t="s">
        <v>1</v>
      </c>
      <c r="B26" s="1" t="s">
        <v>69</v>
      </c>
      <c r="C26" s="4">
        <v>12550</v>
      </c>
      <c r="D26" s="13">
        <v>45725.395833333336</v>
      </c>
    </row>
    <row r="27" ht="30" customHeight="1">
      <c r="A27" s="1" t="s">
        <v>13</v>
      </c>
      <c r="B27" s="1" t="s">
        <v>70</v>
      </c>
      <c r="C27" s="4">
        <v>4996</v>
      </c>
      <c r="D27" s="13">
        <v>45729.395833333336</v>
      </c>
    </row>
    <row r="28" ht="30" customHeight="1">
      <c r="A28" s="1" t="s">
        <v>25</v>
      </c>
      <c r="B28" s="1" t="s">
        <v>71</v>
      </c>
      <c r="C28" s="4">
        <v>195</v>
      </c>
      <c r="D28" s="13">
        <v>45734.395833333336</v>
      </c>
    </row>
    <row r="29" ht="30" customHeight="1">
      <c r="A29" s="1" t="s">
        <v>33</v>
      </c>
      <c r="B29" s="1" t="s">
        <v>69</v>
      </c>
      <c r="C29" s="4">
        <v>11480</v>
      </c>
      <c r="D29" s="13">
        <v>45740.395833333336</v>
      </c>
    </row>
    <row r="30" ht="30" customHeight="1">
      <c r="A30" s="1" t="s">
        <v>1</v>
      </c>
      <c r="B30" s="1" t="s">
        <v>69</v>
      </c>
      <c r="C30" s="4">
        <v>12550</v>
      </c>
      <c r="D30" s="13">
        <v>45726.395833333336</v>
      </c>
    </row>
    <row r="31" ht="30" customHeight="1">
      <c r="A31" s="1" t="s">
        <v>13</v>
      </c>
      <c r="B31" s="1" t="s">
        <v>70</v>
      </c>
      <c r="C31" s="4">
        <v>4996</v>
      </c>
      <c r="D31" s="13">
        <v>45730.395833333336</v>
      </c>
    </row>
    <row r="32" ht="30" customHeight="1">
      <c r="A32" s="1" t="s">
        <v>25</v>
      </c>
      <c r="B32" s="1" t="s">
        <v>71</v>
      </c>
      <c r="C32" s="4">
        <v>195</v>
      </c>
      <c r="D32" s="13">
        <v>45735.395833333336</v>
      </c>
    </row>
    <row r="33" ht="30" customHeight="1">
      <c r="A33" s="1" t="s">
        <v>33</v>
      </c>
      <c r="B33" s="1" t="s">
        <v>69</v>
      </c>
      <c r="C33" s="4">
        <v>11480</v>
      </c>
      <c r="D33" s="13">
        <v>45741.395833333336</v>
      </c>
    </row>
    <row r="34" ht="30" customHeight="1">
      <c r="C34" t="inlineStr" s="19">
        <is>
          <t>TOTAL</t>
        </is>
      </c>
    </row>
    <row r="35" ht="30" customHeight="1">
      <c r="C35" s="22">
        <f>SUM(C2:C33)</f>
      </c>
    </row>
  </sheetData>
  <dataValidations count="3">
    <dataValidation sqref="B2:B33" type="list" showInputMessage="1" promptTitle="Allowed values" prompt="Choose draft, active, or archived" showErrorMessage="1" errorTitle="Invalid status" error="Use one of the allowed workflow states" errorStyle="stop">
      <formula1>"draft,active,archived"</formula1>
    </dataValidation>
    <dataValidation sqref="C2:C33" type="whole" operator="between" allowBlank="1" showErrorMessage="1" errorStyle="stop">
      <formula1>100</formula1>
      <formula2>100000</formula2>
    </dataValidation>
    <dataValidation sqref="D2:D33" type="date" operator="greaterThanOrEqual" showErrorMessage="1" errorStyle="stop">
      <formula1>45658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pane ySplit="1" topLeftCell="A2" state="frozen" activePane="bottomLeft"/>
    </sheetView>
  </sheetViews>
  <sheetFormatPr defaultRowHeight="30"/>
  <cols>
    <col min="1" max="1" width="23" customWidth="1"/>
    <col min="2" max="2" width="21" customWidth="1"/>
    <col min="3" max="3" width="21" customWidth="1"/>
  </cols>
  <sheetData>
    <row r="1" ht="30" customHeight="1">
      <c r="A1" t="inlineStr" s="25">
        <is>
          <t>Owner</t>
        </is>
      </c>
      <c r="B1" t="inlineStr" s="25">
        <is>
          <t>Requested Budget</t>
        </is>
      </c>
      <c r="C1" t="inlineStr" s="25">
        <is>
          <t>Approved Budget</t>
        </is>
      </c>
    </row>
    <row r="2" ht="30" customHeight="1">
      <c r="A2" s="14" t="s">
        <v>1</v>
      </c>
      <c r="B2" s="15">
        <v>12550</v>
      </c>
      <c r="C2" s="16">
        <f>ROUND((B2*0.9),0)</f>
      </c>
    </row>
    <row r="3" ht="30" customHeight="1">
      <c r="A3" s="14" t="s">
        <v>13</v>
      </c>
      <c r="B3" s="15">
        <v>4996</v>
      </c>
      <c r="C3" s="16">
        <f>ROUND((B3*0.9),0)</f>
      </c>
    </row>
    <row r="4" ht="30" customHeight="1">
      <c r="A4" s="14" t="s">
        <v>25</v>
      </c>
      <c r="B4" s="15">
        <v>195</v>
      </c>
      <c r="C4" s="16">
        <f>ROUND((B4*0.9),0)</f>
      </c>
    </row>
    <row r="5" ht="30" customHeight="1">
      <c r="A5" s="14" t="s">
        <v>33</v>
      </c>
      <c r="B5" s="15">
        <v>11480</v>
      </c>
      <c r="C5" s="16">
        <f>ROUND((B5*0.9),0)</f>
      </c>
    </row>
    <row r="6" ht="30" customHeight="1">
      <c r="A6" s="14" t="s">
        <v>1</v>
      </c>
      <c r="B6" s="15">
        <v>12550</v>
      </c>
      <c r="C6" s="16">
        <f>ROUND((B6*0.9),0)</f>
      </c>
    </row>
    <row r="7" ht="30" customHeight="1">
      <c r="A7" s="14" t="s">
        <v>13</v>
      </c>
      <c r="B7" s="15">
        <v>4996</v>
      </c>
      <c r="C7" s="16">
        <f>ROUND((B7*0.9),0)</f>
      </c>
    </row>
    <row r="8" ht="30" customHeight="1">
      <c r="A8" s="14" t="s">
        <v>25</v>
      </c>
      <c r="B8" s="15">
        <v>195</v>
      </c>
      <c r="C8" s="16">
        <f>ROUND((B8*0.9),0)</f>
      </c>
    </row>
    <row r="9" ht="30" customHeight="1">
      <c r="A9" s="14" t="s">
        <v>33</v>
      </c>
      <c r="B9" s="15">
        <v>11480</v>
      </c>
      <c r="C9" s="16">
        <f>ROUND((B9*0.9),0)</f>
      </c>
    </row>
    <row r="10" ht="30" customHeight="1">
      <c r="A10" s="14" t="s">
        <v>1</v>
      </c>
      <c r="B10" s="15">
        <v>12550</v>
      </c>
      <c r="C10" s="16">
        <f>ROUND((B10*0.9),0)</f>
      </c>
    </row>
    <row r="11" ht="30" customHeight="1">
      <c r="A11" s="14" t="s">
        <v>13</v>
      </c>
      <c r="B11" s="15">
        <v>4996</v>
      </c>
      <c r="C11" s="16">
        <f>ROUND((B11*0.9),0)</f>
      </c>
    </row>
    <row r="12" ht="30" customHeight="1">
      <c r="A12" s="14" t="s">
        <v>25</v>
      </c>
      <c r="B12" s="15">
        <v>195</v>
      </c>
      <c r="C12" s="16">
        <f>ROUND((B12*0.9),0)</f>
      </c>
    </row>
    <row r="13" ht="30" customHeight="1">
      <c r="A13" s="14" t="s">
        <v>33</v>
      </c>
      <c r="B13" s="15">
        <v>11480</v>
      </c>
      <c r="C13" s="16">
        <f>ROUND((B13*0.9),0)</f>
      </c>
    </row>
    <row r="14" ht="30" customHeight="1">
      <c r="A14" s="14" t="s">
        <v>1</v>
      </c>
      <c r="B14" s="15">
        <v>12550</v>
      </c>
      <c r="C14" s="16">
        <f>ROUND((B14*0.9),0)</f>
      </c>
    </row>
    <row r="15" ht="30" customHeight="1">
      <c r="A15" s="14" t="s">
        <v>13</v>
      </c>
      <c r="B15" s="15">
        <v>4996</v>
      </c>
      <c r="C15" s="16">
        <f>ROUND((B15*0.9),0)</f>
      </c>
    </row>
    <row r="16" ht="30" customHeight="1">
      <c r="A16" s="14" t="s">
        <v>25</v>
      </c>
      <c r="B16" s="15">
        <v>195</v>
      </c>
      <c r="C16" s="16">
        <f>ROUND((B16*0.9),0)</f>
      </c>
    </row>
    <row r="17" ht="30" customHeight="1">
      <c r="A17" s="14" t="s">
        <v>33</v>
      </c>
      <c r="B17" s="15">
        <v>11480</v>
      </c>
      <c r="C17" s="16">
        <f>ROUND((B17*0.9),0)</f>
      </c>
    </row>
    <row r="18" ht="30" customHeight="1">
      <c r="A18" s="14" t="s">
        <v>1</v>
      </c>
      <c r="B18" s="15">
        <v>12550</v>
      </c>
      <c r="C18" s="16">
        <f>ROUND((B18*0.9),0)</f>
      </c>
    </row>
    <row r="19" ht="30" customHeight="1">
      <c r="A19" s="14" t="s">
        <v>13</v>
      </c>
      <c r="B19" s="15">
        <v>4996</v>
      </c>
      <c r="C19" s="16">
        <f>ROUND((B19*0.9),0)</f>
      </c>
    </row>
    <row r="20" ht="30" customHeight="1">
      <c r="A20" s="14" t="s">
        <v>25</v>
      </c>
      <c r="B20" s="15">
        <v>195</v>
      </c>
      <c r="C20" s="16">
        <f>ROUND((B20*0.9),0)</f>
      </c>
    </row>
    <row r="21" ht="30" customHeight="1">
      <c r="A21" s="14" t="s">
        <v>33</v>
      </c>
      <c r="B21" s="15">
        <v>11480</v>
      </c>
      <c r="C21" s="16">
        <f>ROUND((B21*0.9),0)</f>
      </c>
    </row>
    <row r="22" ht="30" customHeight="1">
      <c r="A22" s="14" t="s">
        <v>1</v>
      </c>
      <c r="B22" s="15">
        <v>12550</v>
      </c>
      <c r="C22" s="16">
        <f>ROUND((B22*0.9),0)</f>
      </c>
    </row>
    <row r="23" ht="30" customHeight="1">
      <c r="A23" s="14" t="s">
        <v>13</v>
      </c>
      <c r="B23" s="15">
        <v>4996</v>
      </c>
      <c r="C23" s="16">
        <f>ROUND((B23*0.9),0)</f>
      </c>
    </row>
    <row r="24" ht="30" customHeight="1">
      <c r="A24" s="14" t="s">
        <v>25</v>
      </c>
      <c r="B24" s="15">
        <v>195</v>
      </c>
      <c r="C24" s="16">
        <f>ROUND((B24*0.9),0)</f>
      </c>
    </row>
    <row r="25" ht="30" customHeight="1">
      <c r="A25" s="14" t="s">
        <v>33</v>
      </c>
      <c r="B25" s="15">
        <v>11480</v>
      </c>
      <c r="C25" s="16">
        <f>ROUND((B25*0.9),0)</f>
      </c>
    </row>
    <row r="26" ht="30" customHeight="1">
      <c r="A26" s="14" t="s">
        <v>1</v>
      </c>
      <c r="B26" s="15">
        <v>12550</v>
      </c>
      <c r="C26" s="16">
        <f>ROUND((B26*0.9),0)</f>
      </c>
    </row>
    <row r="27" ht="30" customHeight="1">
      <c r="A27" s="14" t="s">
        <v>13</v>
      </c>
      <c r="B27" s="15">
        <v>4996</v>
      </c>
      <c r="C27" s="16">
        <f>ROUND((B27*0.9),0)</f>
      </c>
    </row>
    <row r="28" ht="30" customHeight="1">
      <c r="A28" s="14" t="s">
        <v>25</v>
      </c>
      <c r="B28" s="15">
        <v>195</v>
      </c>
      <c r="C28" s="16">
        <f>ROUND((B28*0.9),0)</f>
      </c>
    </row>
    <row r="29" ht="30" customHeight="1">
      <c r="A29" s="14" t="s">
        <v>33</v>
      </c>
      <c r="B29" s="15">
        <v>11480</v>
      </c>
      <c r="C29" s="16">
        <f>ROUND((B29*0.9),0)</f>
      </c>
    </row>
    <row r="30" ht="30" customHeight="1">
      <c r="A30" s="14" t="s">
        <v>1</v>
      </c>
      <c r="B30" s="15">
        <v>12550</v>
      </c>
      <c r="C30" s="16">
        <f>ROUND((B30*0.9),0)</f>
      </c>
    </row>
    <row r="31" ht="30" customHeight="1">
      <c r="A31" s="14" t="s">
        <v>13</v>
      </c>
      <c r="B31" s="15">
        <v>4996</v>
      </c>
      <c r="C31" s="16">
        <f>ROUND((B31*0.9),0)</f>
      </c>
    </row>
    <row r="32" ht="30" customHeight="1">
      <c r="A32" s="14" t="s">
        <v>25</v>
      </c>
      <c r="B32" s="15">
        <v>195</v>
      </c>
      <c r="C32" s="16">
        <f>ROUND((B32*0.9),0)</f>
      </c>
    </row>
    <row r="33" ht="30" customHeight="1">
      <c r="A33" s="14" t="s">
        <v>33</v>
      </c>
      <c r="B33" s="15">
        <v>11480</v>
      </c>
      <c r="C33" s="16">
        <f>ROUND((B33*0.9),0)</f>
      </c>
    </row>
  </sheetData>
  <sheetProtection sheet="1" password="A456" selectLockedCells="1"/>
  <dataValidations count="1">
    <dataValidation sqref="B2:B33" type="whole" operator="between" showErrorMessage="1" errorTitle="Invalid budget" error="Use a whole number between 1,000 and 50,000" errorStyle="stop">
      <formula1>1000</formula1>
      <formula2>50000</formula2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state="frozen" activePane="bottomLeft"/>
    </sheetView>
  </sheetViews>
  <sheetFormatPr defaultRowHeight="30"/>
  <cols>
    <col min="1" max="1" width="25" customWidth="1"/>
    <col min="2" max="2" width="29" customWidth="1"/>
  </cols>
  <sheetData>
    <row r="1" ht="30" customHeight="1">
      <c r="A1" t="inlineStr" s="25">
        <is>
          <t>Customer</t>
        </is>
      </c>
      <c r="B1" t="inlineStr" s="25">
        <is>
          <t>Email</t>
        </is>
      </c>
    </row>
    <row r="2" ht="30" customHeight="1">
      <c r="A2" s="17" t="s">
        <v>1</v>
      </c>
      <c r="B2" s="18" t="s">
        <v>3</v>
      </c>
    </row>
    <row r="3" ht="30" customHeight="1">
      <c r="A3" s="1" t="s">
        <v>13</v>
      </c>
      <c r="B3" s="18" t="s">
        <v>15</v>
      </c>
    </row>
    <row r="4" ht="30" customHeight="1">
      <c r="A4" s="17" t="s">
        <v>25</v>
      </c>
      <c r="B4" s="18" t="s">
        <v>27</v>
      </c>
    </row>
    <row r="5" ht="30" customHeight="1">
      <c r="A5" s="1" t="s">
        <v>33</v>
      </c>
      <c r="B5" s="18" t="s">
        <v>34</v>
      </c>
    </row>
    <row r="6" ht="30" customHeight="1">
      <c r="A6" s="17" t="s">
        <v>1</v>
      </c>
      <c r="B6" s="18" t="s">
        <v>3</v>
      </c>
    </row>
    <row r="7" ht="30" customHeight="1">
      <c r="A7" s="1" t="s">
        <v>13</v>
      </c>
      <c r="B7" s="18" t="s">
        <v>15</v>
      </c>
    </row>
    <row r="8" ht="30" customHeight="1">
      <c r="A8" s="17" t="s">
        <v>25</v>
      </c>
      <c r="B8" s="18" t="s">
        <v>27</v>
      </c>
    </row>
    <row r="9" ht="30" customHeight="1">
      <c r="A9" s="1" t="s">
        <v>33</v>
      </c>
      <c r="B9" s="18" t="s">
        <v>34</v>
      </c>
    </row>
    <row r="10" ht="30" customHeight="1">
      <c r="A10" s="17" t="s">
        <v>1</v>
      </c>
      <c r="B10" s="18" t="s">
        <v>3</v>
      </c>
    </row>
    <row r="11" ht="30" customHeight="1">
      <c r="A11" s="1" t="s">
        <v>13</v>
      </c>
      <c r="B11" s="18" t="s">
        <v>15</v>
      </c>
    </row>
    <row r="12" ht="30" customHeight="1">
      <c r="A12" s="17" t="s">
        <v>25</v>
      </c>
      <c r="B12" s="18" t="s">
        <v>27</v>
      </c>
    </row>
    <row r="13" ht="30" customHeight="1">
      <c r="A13" s="1" t="s">
        <v>33</v>
      </c>
      <c r="B13" s="18" t="s">
        <v>34</v>
      </c>
    </row>
    <row r="14" ht="30" customHeight="1">
      <c r="A14" s="17" t="s">
        <v>1</v>
      </c>
      <c r="B14" s="18" t="s">
        <v>3</v>
      </c>
    </row>
    <row r="15" ht="30" customHeight="1">
      <c r="A15" s="1" t="s">
        <v>13</v>
      </c>
      <c r="B15" s="18" t="s">
        <v>15</v>
      </c>
    </row>
    <row r="16" ht="30" customHeight="1">
      <c r="A16" s="17" t="s">
        <v>25</v>
      </c>
      <c r="B16" s="18" t="s">
        <v>27</v>
      </c>
    </row>
    <row r="17" ht="30" customHeight="1">
      <c r="A17" s="1" t="s">
        <v>33</v>
      </c>
      <c r="B17" s="18" t="s">
        <v>34</v>
      </c>
    </row>
    <row r="18" ht="30" customHeight="1">
      <c r="A18" s="17" t="s">
        <v>1</v>
      </c>
      <c r="B18" s="18" t="s">
        <v>3</v>
      </c>
    </row>
    <row r="19" ht="30" customHeight="1">
      <c r="A19" s="1" t="s">
        <v>13</v>
      </c>
      <c r="B19" s="18" t="s">
        <v>15</v>
      </c>
    </row>
    <row r="20" ht="30" customHeight="1">
      <c r="A20" s="17" t="s">
        <v>25</v>
      </c>
      <c r="B20" s="18" t="s">
        <v>27</v>
      </c>
    </row>
    <row r="21" ht="30" customHeight="1">
      <c r="A21" s="1" t="s">
        <v>33</v>
      </c>
      <c r="B21" s="18" t="s">
        <v>34</v>
      </c>
    </row>
    <row r="22" ht="30" customHeight="1">
      <c r="A22" s="17" t="s">
        <v>1</v>
      </c>
      <c r="B22" s="18" t="s">
        <v>3</v>
      </c>
    </row>
    <row r="23" ht="30" customHeight="1">
      <c r="A23" s="1" t="s">
        <v>13</v>
      </c>
      <c r="B23" s="18" t="s">
        <v>15</v>
      </c>
    </row>
    <row r="24" ht="30" customHeight="1">
      <c r="A24" s="17" t="s">
        <v>25</v>
      </c>
      <c r="B24" s="18" t="s">
        <v>27</v>
      </c>
    </row>
    <row r="25" ht="30" customHeight="1">
      <c r="A25" s="1" t="s">
        <v>33</v>
      </c>
      <c r="B25" s="18" t="s">
        <v>34</v>
      </c>
    </row>
    <row r="26" ht="30" customHeight="1">
      <c r="A26" s="17" t="s">
        <v>1</v>
      </c>
      <c r="B26" s="18" t="s">
        <v>3</v>
      </c>
    </row>
    <row r="27" ht="30" customHeight="1">
      <c r="A27" s="1" t="s">
        <v>13</v>
      </c>
      <c r="B27" s="18" t="s">
        <v>15</v>
      </c>
    </row>
    <row r="28" ht="30" customHeight="1">
      <c r="A28" s="17" t="s">
        <v>25</v>
      </c>
      <c r="B28" s="18" t="s">
        <v>27</v>
      </c>
    </row>
    <row r="29" ht="30" customHeight="1">
      <c r="A29" s="1" t="s">
        <v>33</v>
      </c>
      <c r="B29" s="18" t="s">
        <v>34</v>
      </c>
    </row>
    <row r="30" ht="30" customHeight="1">
      <c r="A30" s="17" t="s">
        <v>1</v>
      </c>
      <c r="B30" s="18" t="s">
        <v>3</v>
      </c>
    </row>
    <row r="31" ht="30" customHeight="1">
      <c r="A31" s="1" t="s">
        <v>13</v>
      </c>
      <c r="B31" s="18" t="s">
        <v>15</v>
      </c>
    </row>
    <row r="32" ht="30" customHeight="1">
      <c r="A32" s="17" t="s">
        <v>25</v>
      </c>
      <c r="B32" s="18" t="s">
        <v>27</v>
      </c>
    </row>
    <row r="33" ht="30" customHeight="1">
      <c r="A33" s="1" t="s">
        <v>33</v>
      </c>
      <c r="B33" s="18" t="s">
        <v>34</v>
      </c>
    </row>
  </sheetData>
  <hyperlinks>
    <hyperlink ref="A2" tooltip="Open customer record" r:id="rIdHyperlink1"/>
    <hyperlink ref="B2" tooltip="Send email" r:id="rIdHyperlink2"/>
    <hyperlink ref="B3" tooltip="Send email" r:id="rIdHyperlink3"/>
    <hyperlink ref="A4" tooltip="Open customer record" r:id="rIdHyperlink4"/>
    <hyperlink ref="B4" tooltip="Send email" r:id="rIdHyperlink5"/>
    <hyperlink ref="B5" tooltip="Send email" r:id="rIdHyperlink6"/>
    <hyperlink ref="A6" tooltip="Open customer record" r:id="rIdHyperlink7"/>
    <hyperlink ref="B6" tooltip="Send email" r:id="rIdHyperlink8"/>
    <hyperlink ref="B7" tooltip="Send email" r:id="rIdHyperlink9"/>
    <hyperlink ref="A8" tooltip="Open customer record" r:id="rIdHyperlink10"/>
    <hyperlink ref="B8" tooltip="Send email" r:id="rIdHyperlink11"/>
    <hyperlink ref="B9" tooltip="Send email" r:id="rIdHyperlink12"/>
    <hyperlink ref="A10" tooltip="Open customer record" r:id="rIdHyperlink13"/>
    <hyperlink ref="B10" tooltip="Send email" r:id="rIdHyperlink14"/>
    <hyperlink ref="B11" tooltip="Send email" r:id="rIdHyperlink15"/>
    <hyperlink ref="A12" tooltip="Open customer record" r:id="rIdHyperlink16"/>
    <hyperlink ref="B12" tooltip="Send email" r:id="rIdHyperlink17"/>
    <hyperlink ref="B13" tooltip="Send email" r:id="rIdHyperlink18"/>
    <hyperlink ref="A14" tooltip="Open customer record" r:id="rIdHyperlink19"/>
    <hyperlink ref="B14" tooltip="Send email" r:id="rIdHyperlink20"/>
    <hyperlink ref="B15" tooltip="Send email" r:id="rIdHyperlink21"/>
    <hyperlink ref="A16" tooltip="Open customer record" r:id="rIdHyperlink22"/>
    <hyperlink ref="B16" tooltip="Send email" r:id="rIdHyperlink23"/>
    <hyperlink ref="B17" tooltip="Send email" r:id="rIdHyperlink24"/>
    <hyperlink ref="A18" tooltip="Open customer record" r:id="rIdHyperlink25"/>
    <hyperlink ref="B18" tooltip="Send email" r:id="rIdHyperlink26"/>
    <hyperlink ref="B19" tooltip="Send email" r:id="rIdHyperlink27"/>
    <hyperlink ref="A20" tooltip="Open customer record" r:id="rIdHyperlink28"/>
    <hyperlink ref="B20" tooltip="Send email" r:id="rIdHyperlink29"/>
    <hyperlink ref="B21" tooltip="Send email" r:id="rIdHyperlink30"/>
    <hyperlink ref="A22" tooltip="Open customer record" r:id="rIdHyperlink31"/>
    <hyperlink ref="B22" tooltip="Send email" r:id="rIdHyperlink32"/>
    <hyperlink ref="B23" tooltip="Send email" r:id="rIdHyperlink33"/>
    <hyperlink ref="A24" tooltip="Open customer record" r:id="rIdHyperlink34"/>
    <hyperlink ref="B24" tooltip="Send email" r:id="rIdHyperlink35"/>
    <hyperlink ref="B25" tooltip="Send email" r:id="rIdHyperlink36"/>
    <hyperlink ref="A26" tooltip="Open customer record" r:id="rIdHyperlink37"/>
    <hyperlink ref="B26" tooltip="Send email" r:id="rIdHyperlink38"/>
    <hyperlink ref="B27" tooltip="Send email" r:id="rIdHyperlink39"/>
    <hyperlink ref="A28" tooltip="Open customer record" r:id="rIdHyperlink40"/>
    <hyperlink ref="B28" tooltip="Send email" r:id="rIdHyperlink41"/>
    <hyperlink ref="B29" tooltip="Send email" r:id="rIdHyperlink42"/>
    <hyperlink ref="A30" tooltip="Open customer record" r:id="rIdHyperlink43"/>
    <hyperlink ref="B30" tooltip="Send email" r:id="rIdHyperlink44"/>
    <hyperlink ref="B31" tooltip="Send email" r:id="rIdHyperlink45"/>
    <hyperlink ref="A32" tooltip="Open customer record" r:id="rIdHyperlink46"/>
    <hyperlink ref="B32" tooltip="Send email" r:id="rIdHyperlink47"/>
    <hyperlink ref="B33" tooltip="Send email" r:id="rIdHyperlink48"/>
  </hyperlinks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ySplit="1" topLeftCell="A2" state="frozen" activePane="bottomLeft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3" customWidth="1"/>
    <col min="6" max="6" width="17" customWidth="1"/>
    <col min="7" max="7" width="27" customWidth="1"/>
  </cols>
  <sheetData>
    <row r="1" ht="30" customHeight="1">
      <c r="A1" t="inlineStr" s="32">
        <is>
          <t>Order</t>
        </is>
      </c>
      <c r="B1" t="inlineStr" s="32">
        <is>
          <t>Customer</t>
        </is>
      </c>
      <c r="C1" t="inlineStr" s="32">
        <is>
          <t>Account</t>
        </is>
      </c>
      <c r="D1" t="inlineStr" s="32">
        <is>
          <t>Email</t>
        </is>
      </c>
      <c r="E1" t="inlineStr" s="32">
        <is>
          <t>Items</t>
        </is>
      </c>
      <c r="F1" t="inlineStr" s="32">
        <is>
          <t>Line Total</t>
        </is>
      </c>
      <c r="G1" t="inlineStr" s="32">
        <is>
          <t>Created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3">
        <v>2</v>
      </c>
      <c r="F2" s="4">
        <v>12550</v>
      </c>
      <c r="G2" s="8">
        <v>45719.395833333336</v>
      </c>
    </row>
    <row r="3" ht="30" customHeight="1">
      <c r="A3" s="1" t="s">
        <v>12</v>
      </c>
      <c r="B3" s="1" t="s">
        <v>13</v>
      </c>
      <c r="C3" s="1" t="s">
        <v>14</v>
      </c>
      <c r="D3" s="1" t="s">
        <v>15</v>
      </c>
      <c r="E3" s="3">
        <v>3</v>
      </c>
      <c r="F3" s="4">
        <v>4996</v>
      </c>
      <c r="G3" s="8">
        <v>45723.395833333336</v>
      </c>
    </row>
    <row r="4" ht="30" customHeight="1">
      <c r="A4" s="1" t="s">
        <v>24</v>
      </c>
      <c r="B4" s="1" t="s">
        <v>25</v>
      </c>
      <c r="C4" s="1" t="s">
        <v>26</v>
      </c>
      <c r="D4" s="1" t="s">
        <v>27</v>
      </c>
      <c r="E4" s="3">
        <v>1</v>
      </c>
      <c r="F4" s="4">
        <v>195</v>
      </c>
      <c r="G4" s="8">
        <v>45728.395833333336</v>
      </c>
    </row>
    <row r="5" ht="30" customHeight="1">
      <c r="A5" s="1" t="s">
        <v>32</v>
      </c>
      <c r="B5" s="1" t="s">
        <v>33</v>
      </c>
      <c r="C5" s="1" t="s">
        <v>2</v>
      </c>
      <c r="D5" s="1" t="s">
        <v>34</v>
      </c>
      <c r="E5" s="3">
        <v>2</v>
      </c>
      <c r="F5" s="4">
        <v>11480</v>
      </c>
      <c r="G5" s="8">
        <v>45734.395833333336</v>
      </c>
    </row>
    <row r="6" ht="30" customHeight="1">
      <c r="A6" s="1" t="s">
        <v>41</v>
      </c>
      <c r="B6" s="1" t="s">
        <v>1</v>
      </c>
      <c r="C6" s="1" t="s">
        <v>2</v>
      </c>
      <c r="D6" s="1" t="s">
        <v>3</v>
      </c>
      <c r="E6" s="3">
        <v>2</v>
      </c>
      <c r="F6" s="4">
        <v>12550</v>
      </c>
      <c r="G6" s="8">
        <v>45720.395833333336</v>
      </c>
    </row>
    <row r="7" ht="30" customHeight="1">
      <c r="A7" s="1" t="s">
        <v>42</v>
      </c>
      <c r="B7" s="1" t="s">
        <v>13</v>
      </c>
      <c r="C7" s="1" t="s">
        <v>14</v>
      </c>
      <c r="D7" s="1" t="s">
        <v>15</v>
      </c>
      <c r="E7" s="3">
        <v>3</v>
      </c>
      <c r="F7" s="4">
        <v>4996</v>
      </c>
      <c r="G7" s="8">
        <v>45724.395833333336</v>
      </c>
    </row>
    <row r="8" ht="30" customHeight="1">
      <c r="A8" s="1" t="s">
        <v>43</v>
      </c>
      <c r="B8" s="1" t="s">
        <v>25</v>
      </c>
      <c r="C8" s="1" t="s">
        <v>26</v>
      </c>
      <c r="D8" s="1" t="s">
        <v>27</v>
      </c>
      <c r="E8" s="3">
        <v>1</v>
      </c>
      <c r="F8" s="4">
        <v>195</v>
      </c>
      <c r="G8" s="8">
        <v>45729.395833333336</v>
      </c>
    </row>
    <row r="9" ht="30" customHeight="1">
      <c r="A9" s="1" t="s">
        <v>44</v>
      </c>
      <c r="B9" s="1" t="s">
        <v>33</v>
      </c>
      <c r="C9" s="1" t="s">
        <v>2</v>
      </c>
      <c r="D9" s="1" t="s">
        <v>34</v>
      </c>
      <c r="E9" s="3">
        <v>2</v>
      </c>
      <c r="F9" s="4">
        <v>11480</v>
      </c>
      <c r="G9" s="8">
        <v>45735.395833333336</v>
      </c>
    </row>
    <row r="10" ht="30" customHeight="1">
      <c r="A10" s="1" t="s">
        <v>45</v>
      </c>
      <c r="B10" s="1" t="s">
        <v>1</v>
      </c>
      <c r="C10" s="1" t="s">
        <v>2</v>
      </c>
      <c r="D10" s="1" t="s">
        <v>3</v>
      </c>
      <c r="E10" s="3">
        <v>2</v>
      </c>
      <c r="F10" s="4">
        <v>12550</v>
      </c>
      <c r="G10" s="8">
        <v>45721.395833333336</v>
      </c>
    </row>
    <row r="11" ht="30" customHeight="1">
      <c r="A11" s="1" t="s">
        <v>46</v>
      </c>
      <c r="B11" s="1" t="s">
        <v>13</v>
      </c>
      <c r="C11" s="1" t="s">
        <v>14</v>
      </c>
      <c r="D11" s="1" t="s">
        <v>15</v>
      </c>
      <c r="E11" s="3">
        <v>3</v>
      </c>
      <c r="F11" s="4">
        <v>4996</v>
      </c>
      <c r="G11" s="8">
        <v>45725.395833333336</v>
      </c>
    </row>
    <row r="12" ht="30" customHeight="1">
      <c r="A12" s="1" t="s">
        <v>47</v>
      </c>
      <c r="B12" s="1" t="s">
        <v>25</v>
      </c>
      <c r="C12" s="1" t="s">
        <v>26</v>
      </c>
      <c r="D12" s="1" t="s">
        <v>27</v>
      </c>
      <c r="E12" s="3">
        <v>1</v>
      </c>
      <c r="F12" s="4">
        <v>195</v>
      </c>
      <c r="G12" s="8">
        <v>45730.395833333336</v>
      </c>
    </row>
    <row r="13" ht="30" customHeight="1">
      <c r="A13" s="1" t="s">
        <v>48</v>
      </c>
      <c r="B13" s="1" t="s">
        <v>33</v>
      </c>
      <c r="C13" s="1" t="s">
        <v>2</v>
      </c>
      <c r="D13" s="1" t="s">
        <v>34</v>
      </c>
      <c r="E13" s="3">
        <v>2</v>
      </c>
      <c r="F13" s="4">
        <v>11480</v>
      </c>
      <c r="G13" s="8">
        <v>45736.395833333336</v>
      </c>
    </row>
    <row r="14" ht="30" customHeight="1">
      <c r="A14" s="1" t="s">
        <v>49</v>
      </c>
      <c r="B14" s="1" t="s">
        <v>1</v>
      </c>
      <c r="C14" s="1" t="s">
        <v>2</v>
      </c>
      <c r="D14" s="1" t="s">
        <v>3</v>
      </c>
      <c r="E14" s="3">
        <v>2</v>
      </c>
      <c r="F14" s="4">
        <v>12550</v>
      </c>
      <c r="G14" s="8">
        <v>45722.395833333336</v>
      </c>
    </row>
    <row r="15" ht="30" customHeight="1">
      <c r="A15" s="1" t="s">
        <v>50</v>
      </c>
      <c r="B15" s="1" t="s">
        <v>13</v>
      </c>
      <c r="C15" s="1" t="s">
        <v>14</v>
      </c>
      <c r="D15" s="1" t="s">
        <v>15</v>
      </c>
      <c r="E15" s="3">
        <v>3</v>
      </c>
      <c r="F15" s="4">
        <v>4996</v>
      </c>
      <c r="G15" s="8">
        <v>45726.395833333336</v>
      </c>
    </row>
    <row r="16" ht="30" customHeight="1">
      <c r="A16" s="1" t="s">
        <v>51</v>
      </c>
      <c r="B16" s="1" t="s">
        <v>25</v>
      </c>
      <c r="C16" s="1" t="s">
        <v>26</v>
      </c>
      <c r="D16" s="1" t="s">
        <v>27</v>
      </c>
      <c r="E16" s="3">
        <v>1</v>
      </c>
      <c r="F16" s="4">
        <v>195</v>
      </c>
      <c r="G16" s="8">
        <v>45731.395833333336</v>
      </c>
    </row>
    <row r="17" ht="30" customHeight="1">
      <c r="A17" s="1" t="s">
        <v>52</v>
      </c>
      <c r="B17" s="1" t="s">
        <v>33</v>
      </c>
      <c r="C17" s="1" t="s">
        <v>2</v>
      </c>
      <c r="D17" s="1" t="s">
        <v>34</v>
      </c>
      <c r="E17" s="3">
        <v>2</v>
      </c>
      <c r="F17" s="4">
        <v>11480</v>
      </c>
      <c r="G17" s="8">
        <v>45737.395833333336</v>
      </c>
    </row>
    <row r="18" ht="30" customHeight="1">
      <c r="A18" s="1" t="s">
        <v>53</v>
      </c>
      <c r="B18" s="1" t="s">
        <v>1</v>
      </c>
      <c r="C18" s="1" t="s">
        <v>2</v>
      </c>
      <c r="D18" s="1" t="s">
        <v>3</v>
      </c>
      <c r="E18" s="3">
        <v>2</v>
      </c>
      <c r="F18" s="4">
        <v>12550</v>
      </c>
      <c r="G18" s="8">
        <v>45723.395833333336</v>
      </c>
    </row>
    <row r="19" ht="30" customHeight="1">
      <c r="A19" s="1" t="s">
        <v>54</v>
      </c>
      <c r="B19" s="1" t="s">
        <v>13</v>
      </c>
      <c r="C19" s="1" t="s">
        <v>14</v>
      </c>
      <c r="D19" s="1" t="s">
        <v>15</v>
      </c>
      <c r="E19" s="3">
        <v>3</v>
      </c>
      <c r="F19" s="4">
        <v>4996</v>
      </c>
      <c r="G19" s="8">
        <v>45727.395833333336</v>
      </c>
    </row>
    <row r="20" ht="30" customHeight="1">
      <c r="A20" s="1" t="s">
        <v>55</v>
      </c>
      <c r="B20" s="1" t="s">
        <v>25</v>
      </c>
      <c r="C20" s="1" t="s">
        <v>26</v>
      </c>
      <c r="D20" s="1" t="s">
        <v>27</v>
      </c>
      <c r="E20" s="3">
        <v>1</v>
      </c>
      <c r="F20" s="4">
        <v>195</v>
      </c>
      <c r="G20" s="8">
        <v>45732.395833333336</v>
      </c>
    </row>
    <row r="21" ht="30" customHeight="1">
      <c r="A21" s="1" t="s">
        <v>56</v>
      </c>
      <c r="B21" s="1" t="s">
        <v>33</v>
      </c>
      <c r="C21" s="1" t="s">
        <v>2</v>
      </c>
      <c r="D21" s="1" t="s">
        <v>34</v>
      </c>
      <c r="E21" s="3">
        <v>2</v>
      </c>
      <c r="F21" s="4">
        <v>11480</v>
      </c>
      <c r="G21" s="8">
        <v>45738.395833333336</v>
      </c>
    </row>
    <row r="22" ht="30" customHeight="1">
      <c r="A22" s="1" t="s">
        <v>57</v>
      </c>
      <c r="B22" s="1" t="s">
        <v>1</v>
      </c>
      <c r="C22" s="1" t="s">
        <v>2</v>
      </c>
      <c r="D22" s="1" t="s">
        <v>3</v>
      </c>
      <c r="E22" s="3">
        <v>2</v>
      </c>
      <c r="F22" s="4">
        <v>12550</v>
      </c>
      <c r="G22" s="8">
        <v>45724.395833333336</v>
      </c>
    </row>
    <row r="23" ht="30" customHeight="1">
      <c r="A23" s="1" t="s">
        <v>58</v>
      </c>
      <c r="B23" s="1" t="s">
        <v>13</v>
      </c>
      <c r="C23" s="1" t="s">
        <v>14</v>
      </c>
      <c r="D23" s="1" t="s">
        <v>15</v>
      </c>
      <c r="E23" s="3">
        <v>3</v>
      </c>
      <c r="F23" s="4">
        <v>4996</v>
      </c>
      <c r="G23" s="8">
        <v>45728.395833333336</v>
      </c>
    </row>
    <row r="24" ht="30" customHeight="1">
      <c r="A24" s="1" t="s">
        <v>59</v>
      </c>
      <c r="B24" s="1" t="s">
        <v>25</v>
      </c>
      <c r="C24" s="1" t="s">
        <v>26</v>
      </c>
      <c r="D24" s="1" t="s">
        <v>27</v>
      </c>
      <c r="E24" s="3">
        <v>1</v>
      </c>
      <c r="F24" s="4">
        <v>195</v>
      </c>
      <c r="G24" s="8">
        <v>45733.395833333336</v>
      </c>
    </row>
    <row r="25" ht="30" customHeight="1">
      <c r="A25" s="1" t="s">
        <v>60</v>
      </c>
      <c r="B25" s="1" t="s">
        <v>33</v>
      </c>
      <c r="C25" s="1" t="s">
        <v>2</v>
      </c>
      <c r="D25" s="1" t="s">
        <v>34</v>
      </c>
      <c r="E25" s="3">
        <v>2</v>
      </c>
      <c r="F25" s="4">
        <v>11480</v>
      </c>
      <c r="G25" s="8">
        <v>45739.395833333336</v>
      </c>
    </row>
    <row r="26" ht="30" customHeight="1">
      <c r="A26" s="1" t="s">
        <v>61</v>
      </c>
      <c r="B26" s="1" t="s">
        <v>1</v>
      </c>
      <c r="C26" s="1" t="s">
        <v>2</v>
      </c>
      <c r="D26" s="1" t="s">
        <v>3</v>
      </c>
      <c r="E26" s="3">
        <v>2</v>
      </c>
      <c r="F26" s="4">
        <v>12550</v>
      </c>
      <c r="G26" s="8">
        <v>45725.395833333336</v>
      </c>
    </row>
    <row r="27" ht="30" customHeight="1">
      <c r="A27" s="1" t="s">
        <v>62</v>
      </c>
      <c r="B27" s="1" t="s">
        <v>13</v>
      </c>
      <c r="C27" s="1" t="s">
        <v>14</v>
      </c>
      <c r="D27" s="1" t="s">
        <v>15</v>
      </c>
      <c r="E27" s="3">
        <v>3</v>
      </c>
      <c r="F27" s="4">
        <v>4996</v>
      </c>
      <c r="G27" s="8">
        <v>45729.395833333336</v>
      </c>
    </row>
    <row r="28" ht="30" customHeight="1">
      <c r="A28" s="1" t="s">
        <v>63</v>
      </c>
      <c r="B28" s="1" t="s">
        <v>25</v>
      </c>
      <c r="C28" s="1" t="s">
        <v>26</v>
      </c>
      <c r="D28" s="1" t="s">
        <v>27</v>
      </c>
      <c r="E28" s="3">
        <v>1</v>
      </c>
      <c r="F28" s="4">
        <v>195</v>
      </c>
      <c r="G28" s="8">
        <v>45734.395833333336</v>
      </c>
    </row>
    <row r="29" ht="30" customHeight="1">
      <c r="A29" s="1" t="s">
        <v>64</v>
      </c>
      <c r="B29" s="1" t="s">
        <v>33</v>
      </c>
      <c r="C29" s="1" t="s">
        <v>2</v>
      </c>
      <c r="D29" s="1" t="s">
        <v>34</v>
      </c>
      <c r="E29" s="3">
        <v>2</v>
      </c>
      <c r="F29" s="4">
        <v>11480</v>
      </c>
      <c r="G29" s="8">
        <v>45740.395833333336</v>
      </c>
    </row>
    <row r="30" ht="30" customHeight="1">
      <c r="A30" s="1" t="s">
        <v>65</v>
      </c>
      <c r="B30" s="1" t="s">
        <v>1</v>
      </c>
      <c r="C30" s="1" t="s">
        <v>2</v>
      </c>
      <c r="D30" s="1" t="s">
        <v>3</v>
      </c>
      <c r="E30" s="3">
        <v>2</v>
      </c>
      <c r="F30" s="4">
        <v>12550</v>
      </c>
      <c r="G30" s="8">
        <v>45726.395833333336</v>
      </c>
    </row>
    <row r="31" ht="30" customHeight="1">
      <c r="A31" s="1" t="s">
        <v>66</v>
      </c>
      <c r="B31" s="1" t="s">
        <v>13</v>
      </c>
      <c r="C31" s="1" t="s">
        <v>14</v>
      </c>
      <c r="D31" s="1" t="s">
        <v>15</v>
      </c>
      <c r="E31" s="3">
        <v>3</v>
      </c>
      <c r="F31" s="4">
        <v>4996</v>
      </c>
      <c r="G31" s="8">
        <v>45730.395833333336</v>
      </c>
    </row>
    <row r="32" ht="30" customHeight="1">
      <c r="A32" s="1" t="s">
        <v>67</v>
      </c>
      <c r="B32" s="1" t="s">
        <v>25</v>
      </c>
      <c r="C32" s="1" t="s">
        <v>26</v>
      </c>
      <c r="D32" s="1" t="s">
        <v>27</v>
      </c>
      <c r="E32" s="3">
        <v>1</v>
      </c>
      <c r="F32" s="4">
        <v>195</v>
      </c>
      <c r="G32" s="8">
        <v>45735.395833333336</v>
      </c>
    </row>
    <row r="33" ht="30" customHeight="1">
      <c r="A33" s="1" t="s">
        <v>68</v>
      </c>
      <c r="B33" s="1" t="s">
        <v>33</v>
      </c>
      <c r="C33" s="1" t="s">
        <v>2</v>
      </c>
      <c r="D33" s="1" t="s">
        <v>34</v>
      </c>
      <c r="E33" s="3">
        <v>2</v>
      </c>
      <c r="F33" s="4">
        <v>11480</v>
      </c>
      <c r="G33" s="8">
        <v>45741.395833333336</v>
      </c>
    </row>
    <row r="34" ht="30" customHeight="1">
      <c r="A34" t="inlineStr" s="19">
        <is>
          <t>TOTAL</t>
        </is>
      </c>
      <c r="F34" s="22">
        <f>SUBTOTAL(109,[Line Total])</f>
      </c>
      <c r="G34" s="24">
        <f>SUBTOTAL(104,[Created])</f>
      </c>
    </row>
  </sheetData>
  <tableParts count="1">
    <tablePart r:id="rIdTable1"/>
  </tableParts>
</worksheet>
</file>