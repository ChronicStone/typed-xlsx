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ard Overview" sheetId="1" r:id="rId1"/>
    <sheet name="Regional Views" sheetId="2" r:id="rId2"/>
  </sheets>
  <calcPr calcMode="auto" fullCalcOnLoad="1" forceFullCalc="1"/>
</workbook>
</file>

<file path=xl/sharedStrings.xml><?xml version="1.0" encoding="utf-8"?>
<sst xmlns="http://schemas.openxmlformats.org/spreadsheetml/2006/main" count="45" uniqueCount="45">
  <si>
    <t>Portfolio Snapshot</t>
  </si>
  <si>
    <t>Commercial</t>
  </si>
  <si>
    <t>Adoption</t>
  </si>
  <si>
    <t>Renewal</t>
  </si>
  <si>
    <t>Account</t>
  </si>
  <si>
    <t>Region</t>
  </si>
  <si>
    <t>Sector</t>
  </si>
  <si>
    <t>CSM</t>
  </si>
  <si>
    <t>Current ARR</t>
  </si>
  <si>
    <t>Expansion</t>
  </si>
  <si>
    <t>Expansion Value</t>
  </si>
  <si>
    <t>Projected ARR</t>
  </si>
  <si>
    <t>NRR</t>
  </si>
  <si>
    <t>Seats</t>
  </si>
  <si>
    <t>Activated</t>
  </si>
  <si>
    <t>Seat Utilization</t>
  </si>
  <si>
    <t>Health</t>
  </si>
  <si>
    <t>Renewal Date</t>
  </si>
  <si>
    <t>Executive Note</t>
  </si>
  <si>
    <t>Northstar Payments</t>
  </si>
  <si>
    <t>AMER</t>
  </si>
  <si>
    <t>Fintech</t>
  </si>
  <si>
    <t>Elouise Reichert</t>
  </si>
  <si>
    <t>Risk is manageable if onboarding debt is reduced before procurement review.</t>
  </si>
  <si>
    <t>Bluebird Health</t>
  </si>
  <si>
    <t>EMEA</t>
  </si>
  <si>
    <t>Retail</t>
  </si>
  <si>
    <t>Joshuah Conn</t>
  </si>
  <si>
    <t>Operational adoption is strong and the account is positioned for expansion.</t>
  </si>
  <si>
    <t>Delta Retail Group</t>
  </si>
  <si>
    <t>APAC</t>
  </si>
  <si>
    <t>Healthcare</t>
  </si>
  <si>
    <t>Sean Lind Sr.</t>
  </si>
  <si>
    <t>Healthy usage trend, but commercial alignment still needs work before renewal.</t>
  </si>
  <si>
    <t>Cinder Labs</t>
  </si>
  <si>
    <t>Amos Mayer</t>
  </si>
  <si>
    <t>Atlas Commerce</t>
  </si>
  <si>
    <t>Mr. Brian Nienow</t>
  </si>
  <si>
    <t>Meridian Bio</t>
  </si>
  <si>
    <t>Manufacturing</t>
  </si>
  <si>
    <t>Jeramy Doyle-Gusikowski</t>
  </si>
  <si>
    <t>Portfolio total</t>
  </si>
  <si>
    <t>Portfolio average</t>
  </si>
  <si>
    <t>Portfolio max</t>
  </si>
  <si>
    <t>Executive Watchlist</t>
  </si>
</sst>
</file>

<file path=xl/styles.xml><?xml version="1.0" encoding="utf-8"?>
<styleSheet xmlns="http://schemas.openxmlformats.org/spreadsheetml/2006/main">
  <numFmts count="4">
    <numFmt numFmtId="164" formatCode="&quot;$&quot;#,##0"/>
    <numFmt numFmtId="165" formatCode="0%"/>
    <numFmt numFmtId="166" formatCode="0.0%"/>
    <numFmt numFmtId="167" formatCode="yyyy-mm-dd"/>
  </numFmts>
  <fonts count="11">
    <font>
      <sz val="11"/>
      <name val="Calibri"/>
    </font>
    <font>
      <b/>
      <color rgb="FFF8FAFC"/>
    </font>
    <font>
      <b/>
      <color rgb="FF1E3A8A"/>
    </font>
    <font>
      <color rgb="FF64748B"/>
    </font>
    <font>
      <b/>
      <color rgb="FF334155"/>
    </font>
    <font>
      <b/>
      <color rgb="FF9F1239"/>
    </font>
    <font>
      <b/>
      <color rgb="FFFFF7ED"/>
    </font>
    <font>
      <b/>
      <color rgb="FF0C4A6E"/>
    </font>
    <font>
      <b/>
      <color rgb="FF0F3A59"/>
    </font>
    <font>
      <b/>
      <color rgb="FF166534"/>
    </font>
    <font>
      <b/>
      <color rgb="FF9D174D"/>
    </font>
  </fonts>
  <fills count="29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020617"/>
        <bgColor indexed="64"/>
      </patternFill>
    </fill>
    <fill>
      <patternFill patternType="solid">
        <fgColor rgb="FFD3DCF7"/>
        <bgColor indexed="64"/>
      </patternFill>
    </fill>
    <fill>
      <patternFill patternType="solid">
        <fgColor rgb="FFCBD5F5"/>
        <bgColor indexed="64"/>
      </patternFill>
    </fill>
    <fill>
      <patternFill patternType="solid">
        <fgColor rgb="FF0B122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450A0A"/>
        <bgColor indexed="64"/>
      </patternFill>
    </fill>
    <fill>
      <patternFill patternType="solid">
        <fgColor rgb="FFFED2D2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C5EAFD"/>
        <bgColor indexed="64"/>
      </patternFill>
    </fill>
    <fill>
      <patternFill patternType="solid">
        <fgColor rgb="FFBAE6F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EFFE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C6F8D8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BCFE8"/>
        <bgColor indexed="64"/>
      </patternFill>
    </fill>
    <fill>
      <patternFill patternType="solid">
        <fgColor rgb="FFFCEBF5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DF2F8"/>
        <bgColor indexed="64"/>
      </patternFill>
    </fill>
    <fill>
      <patternFill patternType="solid">
        <fgColor rgb="FFE2E8F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top"/>
    </xf>
    <xf numFmtId="164" fontId="3" fillId="6" borderId="2" xfId="0" applyNumberFormat="1" applyFont="1" applyFill="1" applyBorder="1" applyAlignment="1">
      <alignment horizontal="right" vertical="top"/>
    </xf>
    <xf numFmtId="165" fontId="3" fillId="6" borderId="2" xfId="0" applyNumberFormat="1" applyFont="1" applyFill="1" applyBorder="1" applyAlignment="1">
      <alignment horizontal="right" vertical="top"/>
    </xf>
    <xf numFmtId="0" fontId="3" fillId="6" borderId="2" xfId="0" applyFont="1" applyFill="1" applyBorder="1" applyAlignment="1">
      <alignment horizontal="right" vertical="top"/>
    </xf>
    <xf numFmtId="166" fontId="3" fillId="6" borderId="2" xfId="0" applyNumberFormat="1" applyFont="1" applyFill="1" applyBorder="1" applyAlignment="1">
      <alignment horizontal="right" vertical="top"/>
    </xf>
    <xf numFmtId="167" fontId="3" fillId="6" borderId="2" xfId="0" applyNumberFormat="1" applyFont="1" applyFill="1" applyBorder="1" applyAlignment="1">
      <alignment vertical="top"/>
    </xf>
    <xf numFmtId="0" fontId="3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center"/>
    </xf>
    <xf numFmtId="164" fontId="4" fillId="7" borderId="2" xfId="0" applyNumberFormat="1" applyFont="1" applyFill="1" applyBorder="1" applyAlignment="1">
      <alignment horizontal="right" vertical="center"/>
    </xf>
    <xf numFmtId="165" fontId="4" fillId="7" borderId="2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vertical="top"/>
    </xf>
    <xf numFmtId="164" fontId="3" fillId="12" borderId="2" xfId="0" applyNumberFormat="1" applyFont="1" applyFill="1" applyBorder="1" applyAlignment="1">
      <alignment horizontal="right" vertical="top"/>
    </xf>
    <xf numFmtId="165" fontId="3" fillId="12" borderId="2" xfId="0" applyNumberFormat="1" applyFont="1" applyFill="1" applyBorder="1" applyAlignment="1">
      <alignment horizontal="right" vertical="top"/>
    </xf>
    <xf numFmtId="0" fontId="3" fillId="12" borderId="2" xfId="0" applyFont="1" applyFill="1" applyBorder="1" applyAlignment="1">
      <alignment horizontal="right" vertical="top"/>
    </xf>
    <xf numFmtId="167" fontId="3" fillId="12" borderId="2" xfId="0" applyNumberFormat="1" applyFont="1" applyFill="1" applyBorder="1" applyAlignment="1">
      <alignment vertical="top"/>
    </xf>
    <xf numFmtId="0" fontId="3" fillId="12" borderId="2" xfId="0" applyFont="1" applyFill="1" applyBorder="1" applyAlignment="1">
      <alignment vertical="top" wrapText="1"/>
    </xf>
    <xf numFmtId="0" fontId="4" fillId="13" borderId="2" xfId="0" applyFont="1" applyFill="1" applyBorder="1" applyAlignment="1">
      <alignment vertical="center"/>
    </xf>
    <xf numFmtId="164" fontId="4" fillId="13" borderId="2" xfId="0" applyNumberFormat="1" applyFont="1" applyFill="1" applyBorder="1" applyAlignment="1">
      <alignment horizontal="right" vertical="center"/>
    </xf>
    <xf numFmtId="165" fontId="4" fillId="13" borderId="2" xfId="0" applyNumberFormat="1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right" vertical="center"/>
    </xf>
    <xf numFmtId="0" fontId="1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vertical="center"/>
    </xf>
    <xf numFmtId="164" fontId="3" fillId="18" borderId="2" xfId="0" applyNumberFormat="1" applyFont="1" applyFill="1" applyBorder="1" applyAlignment="1">
      <alignment horizontal="right" vertical="center"/>
    </xf>
    <xf numFmtId="165" fontId="3" fillId="18" borderId="2" xfId="0" applyNumberFormat="1" applyFont="1" applyFill="1" applyBorder="1" applyAlignment="1">
      <alignment horizontal="right" vertical="center"/>
    </xf>
    <xf numFmtId="0" fontId="3" fillId="18" borderId="2" xfId="0" applyFont="1" applyFill="1" applyBorder="1" applyAlignment="1">
      <alignment horizontal="right" vertical="center"/>
    </xf>
    <xf numFmtId="0" fontId="8" fillId="19" borderId="2" xfId="0" applyFont="1" applyFill="1" applyBorder="1" applyAlignment="1">
      <alignment vertical="center"/>
    </xf>
    <xf numFmtId="164" fontId="8" fillId="19" borderId="2" xfId="0" applyNumberFormat="1" applyFont="1" applyFill="1" applyBorder="1" applyAlignment="1">
      <alignment horizontal="right" vertical="center"/>
    </xf>
    <xf numFmtId="165" fontId="8" fillId="19" borderId="2" xfId="0" applyNumberFormat="1" applyFont="1" applyFill="1" applyBorder="1" applyAlignment="1">
      <alignment horizontal="right" vertical="center"/>
    </xf>
    <xf numFmtId="0" fontId="8" fillId="19" borderId="2" xfId="0" applyFont="1" applyFill="1" applyBorder="1" applyAlignment="1">
      <alignment horizontal="right" vertical="center"/>
    </xf>
    <xf numFmtId="0" fontId="1" fillId="20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vertical="center"/>
    </xf>
    <xf numFmtId="164" fontId="3" fillId="23" borderId="2" xfId="0" applyNumberFormat="1" applyFont="1" applyFill="1" applyBorder="1" applyAlignment="1">
      <alignment horizontal="right" vertical="center"/>
    </xf>
    <xf numFmtId="165" fontId="3" fillId="23" borderId="2" xfId="0" applyNumberFormat="1" applyFont="1" applyFill="1" applyBorder="1" applyAlignment="1">
      <alignment horizontal="right" vertical="center"/>
    </xf>
    <xf numFmtId="0" fontId="3" fillId="23" borderId="2" xfId="0" applyFont="1" applyFill="1" applyBorder="1" applyAlignment="1">
      <alignment horizontal="right" vertical="center"/>
    </xf>
    <xf numFmtId="0" fontId="9" fillId="22" borderId="2" xfId="0" applyFont="1" applyFill="1" applyBorder="1" applyAlignment="1">
      <alignment vertical="center"/>
    </xf>
    <xf numFmtId="164" fontId="9" fillId="22" borderId="2" xfId="0" applyNumberFormat="1" applyFont="1" applyFill="1" applyBorder="1" applyAlignment="1">
      <alignment horizontal="right" vertical="center"/>
    </xf>
    <xf numFmtId="165" fontId="9" fillId="22" borderId="2" xfId="0" applyNumberFormat="1" applyFont="1" applyFill="1" applyBorder="1" applyAlignment="1">
      <alignment horizontal="right" vertical="center"/>
    </xf>
    <xf numFmtId="0" fontId="9" fillId="22" borderId="2" xfId="0" applyFont="1" applyFill="1" applyBorder="1" applyAlignment="1">
      <alignment horizontal="right" vertical="center"/>
    </xf>
    <xf numFmtId="0" fontId="1" fillId="24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0" fillId="26" borderId="1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vertical="center"/>
    </xf>
    <xf numFmtId="164" fontId="3" fillId="27" borderId="2" xfId="0" applyNumberFormat="1" applyFont="1" applyFill="1" applyBorder="1" applyAlignment="1">
      <alignment horizontal="right" vertical="center"/>
    </xf>
    <xf numFmtId="165" fontId="3" fillId="27" borderId="2" xfId="0" applyNumberFormat="1" applyFont="1" applyFill="1" applyBorder="1" applyAlignment="1">
      <alignment horizontal="right" vertical="center"/>
    </xf>
    <xf numFmtId="0" fontId="3" fillId="27" borderId="2" xfId="0" applyFont="1" applyFill="1" applyBorder="1" applyAlignment="1">
      <alignment horizontal="right" vertical="center"/>
    </xf>
    <xf numFmtId="0" fontId="4" fillId="28" borderId="2" xfId="0" applyFont="1" applyFill="1" applyBorder="1" applyAlignment="1">
      <alignment vertical="center"/>
    </xf>
    <xf numFmtId="164" fontId="4" fillId="28" borderId="2" xfId="0" applyNumberFormat="1" applyFont="1" applyFill="1" applyBorder="1" applyAlignment="1">
      <alignment horizontal="right" vertical="center"/>
    </xf>
    <xf numFmtId="165" fontId="4" fillId="28" borderId="2" xfId="0" applyNumberFormat="1" applyFont="1" applyFill="1" applyBorder="1" applyAlignment="1">
      <alignment horizontal="right" vertical="center"/>
    </xf>
    <xf numFmtId="0" fontId="4" fillId="28" borderId="2" xfId="0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2400E"/>
      </font>
      <fill>
        <patternFill patternType="solid">
          <fgColor rgb="FFFEF3C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workbookViewId="0">
      <pane xSplit="2" ySplit="3" topLeftCell="C4" state="frozen" activePane="bottomRight"/>
      <selection pane="topRight"/>
      <selection pane="bottomLeft"/>
      <selection pane="bottomRight" activeCell="C4" sqref="C4"/>
    </sheetView>
  </sheetViews>
  <sheetFormatPr defaultRowHeight="30"/>
  <cols>
    <col min="1" max="1" width="27" customWidth="1"/>
    <col min="2" max="2" width="15" customWidth="1"/>
    <col min="3" max="3" width="19" customWidth="1"/>
    <col min="4" max="4" width="28" customWidth="1"/>
    <col min="5" max="5" width="19" customWidth="1"/>
    <col min="6" max="6" width="17" customWidth="1"/>
    <col min="7" max="7" width="21" customWidth="1"/>
    <col min="8" max="8" width="21" customWidth="1"/>
    <col min="9" max="9" width="15" customWidth="1"/>
    <col min="10" max="10" width="15" customWidth="1"/>
    <col min="11" max="11" width="17" customWidth="1"/>
    <col min="12" max="12" width="19" customWidth="1"/>
    <col min="13" max="13" width="15" customWidth="1"/>
    <col min="14" max="14" width="19" customWidth="1"/>
    <col min="15" max="15" width="83" customWidth="1"/>
    <col min="1" max="1" width="27" customWidth="1"/>
    <col min="2" max="2" width="15" customWidth="1"/>
    <col min="3" max="3" width="28" customWidth="1"/>
    <col min="4" max="4" width="19" customWidth="1"/>
    <col min="5" max="5" width="21" customWidth="1"/>
    <col min="6" max="6" width="15" customWidth="1"/>
    <col min="7" max="7" width="15" customWidth="1"/>
    <col min="8" max="8" width="19" customWidth="1"/>
    <col min="9" max="9" width="83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>
      <c r="A2" s="2"/>
      <c r="B2" s="2"/>
      <c r="C2" s="2"/>
      <c r="D2" s="2"/>
      <c r="E2" s="3" t="s">
        <v>1</v>
      </c>
      <c r="F2" s="2"/>
      <c r="G2" s="2"/>
      <c r="H2" s="2"/>
      <c r="I2" s="2"/>
      <c r="J2" s="3" t="s">
        <v>2</v>
      </c>
      <c r="K2" s="2"/>
      <c r="L2" s="2"/>
      <c r="M2" s="2"/>
      <c r="N2" s="3" t="s">
        <v>3</v>
      </c>
      <c r="O2" s="2"/>
    </row>
    <row r="3" ht="30" customHeight="1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</row>
    <row r="4" ht="30" customHeight="1">
      <c r="A4" s="5" t="s">
        <v>19</v>
      </c>
      <c r="B4" s="5" t="s">
        <v>20</v>
      </c>
      <c r="C4" s="5" t="s">
        <v>21</v>
      </c>
      <c r="D4" s="5" t="s">
        <v>22</v>
      </c>
      <c r="E4" s="6">
        <v>764759</v>
      </c>
      <c r="F4" s="7">
        <v>0.15</v>
      </c>
      <c r="G4" s="6">
        <v>114714</v>
      </c>
      <c r="H4" s="6">
        <v>879473</v>
      </c>
      <c r="I4" s="7">
        <v>1.03</v>
      </c>
      <c r="J4" s="8">
        <v>1436</v>
      </c>
      <c r="K4" s="8">
        <v>947</v>
      </c>
      <c r="L4" s="9">
        <v>0.6594707520891365</v>
      </c>
      <c r="M4" s="8">
        <v>65</v>
      </c>
      <c r="N4" s="10">
        <v>46074</v>
      </c>
      <c r="O4" s="11" t="s">
        <v>23</v>
      </c>
    </row>
    <row r="5" ht="30" customHeight="1">
      <c r="A5" s="5" t="s">
        <v>24</v>
      </c>
      <c r="B5" s="5" t="s">
        <v>25</v>
      </c>
      <c r="C5" s="5" t="s">
        <v>26</v>
      </c>
      <c r="D5" s="5" t="s">
        <v>27</v>
      </c>
      <c r="E5" s="6">
        <v>509118</v>
      </c>
      <c r="F5" s="7">
        <v>0.24</v>
      </c>
      <c r="G5" s="6">
        <v>122188</v>
      </c>
      <c r="H5" s="6">
        <v>631306</v>
      </c>
      <c r="I5" s="7">
        <v>1.08</v>
      </c>
      <c r="J5" s="8">
        <v>568</v>
      </c>
      <c r="K5" s="8">
        <v>489</v>
      </c>
      <c r="L5" s="9">
        <v>0.8609154929577465</v>
      </c>
      <c r="M5" s="8">
        <v>80</v>
      </c>
      <c r="N5" s="10">
        <v>46101</v>
      </c>
      <c r="O5" s="11" t="s">
        <v>28</v>
      </c>
    </row>
    <row r="6" ht="30" customHeight="1">
      <c r="A6" s="5" t="s">
        <v>29</v>
      </c>
      <c r="B6" s="5" t="s">
        <v>30</v>
      </c>
      <c r="C6" s="5" t="s">
        <v>31</v>
      </c>
      <c r="D6" s="5" t="s">
        <v>32</v>
      </c>
      <c r="E6" s="6">
        <v>1121839</v>
      </c>
      <c r="F6" s="7">
        <v>0.05</v>
      </c>
      <c r="G6" s="6">
        <v>56092</v>
      </c>
      <c r="H6" s="6">
        <v>1177931</v>
      </c>
      <c r="I6" s="7">
        <v>1.12</v>
      </c>
      <c r="J6" s="8">
        <v>1858</v>
      </c>
      <c r="K6" s="8">
        <v>1469</v>
      </c>
      <c r="L6" s="9">
        <v>0.7906350914962325</v>
      </c>
      <c r="M6" s="8">
        <v>92</v>
      </c>
      <c r="N6" s="10">
        <v>46122</v>
      </c>
      <c r="O6" s="11" t="s">
        <v>33</v>
      </c>
    </row>
    <row r="7" ht="30" customHeight="1">
      <c r="A7" s="5" t="s">
        <v>34</v>
      </c>
      <c r="B7" s="5" t="s">
        <v>20</v>
      </c>
      <c r="C7" s="5" t="s">
        <v>31</v>
      </c>
      <c r="D7" s="5" t="s">
        <v>35</v>
      </c>
      <c r="E7" s="6">
        <v>905243</v>
      </c>
      <c r="F7" s="7">
        <v>0.14</v>
      </c>
      <c r="G7" s="6">
        <v>126734</v>
      </c>
      <c r="H7" s="6">
        <v>1031977</v>
      </c>
      <c r="I7" s="7">
        <v>0.97</v>
      </c>
      <c r="J7" s="8">
        <v>712</v>
      </c>
      <c r="K7" s="8">
        <v>638</v>
      </c>
      <c r="L7" s="9">
        <v>0.8960674157303371</v>
      </c>
      <c r="M7" s="8">
        <v>60</v>
      </c>
      <c r="N7" s="10">
        <v>46153</v>
      </c>
      <c r="O7" s="11" t="s">
        <v>33</v>
      </c>
    </row>
    <row r="8" ht="30" customHeight="1">
      <c r="A8" s="5" t="s">
        <v>36</v>
      </c>
      <c r="B8" s="5" t="s">
        <v>25</v>
      </c>
      <c r="C8" s="5" t="s">
        <v>31</v>
      </c>
      <c r="D8" s="5" t="s">
        <v>37</v>
      </c>
      <c r="E8" s="6">
        <v>1089829</v>
      </c>
      <c r="F8" s="7">
        <v>0.17</v>
      </c>
      <c r="G8" s="6">
        <v>185271</v>
      </c>
      <c r="H8" s="6">
        <v>1275100</v>
      </c>
      <c r="I8" s="7">
        <v>1.05</v>
      </c>
      <c r="J8" s="8">
        <v>2110</v>
      </c>
      <c r="K8" s="8">
        <v>1724</v>
      </c>
      <c r="L8" s="9">
        <v>0.8170616113744076</v>
      </c>
      <c r="M8" s="8">
        <v>83</v>
      </c>
      <c r="N8" s="10">
        <v>46184</v>
      </c>
      <c r="O8" s="11" t="s">
        <v>28</v>
      </c>
    </row>
    <row r="9" ht="30" customHeight="1">
      <c r="A9" s="5" t="s">
        <v>38</v>
      </c>
      <c r="B9" s="5" t="s">
        <v>30</v>
      </c>
      <c r="C9" s="5" t="s">
        <v>39</v>
      </c>
      <c r="D9" s="5" t="s">
        <v>40</v>
      </c>
      <c r="E9" s="6">
        <v>776661</v>
      </c>
      <c r="F9" s="7">
        <v>0.04</v>
      </c>
      <c r="G9" s="6">
        <v>31066</v>
      </c>
      <c r="H9" s="6">
        <v>807727</v>
      </c>
      <c r="I9" s="7">
        <v>1.18</v>
      </c>
      <c r="J9" s="8">
        <v>1753</v>
      </c>
      <c r="K9" s="8">
        <v>1196</v>
      </c>
      <c r="L9" s="9">
        <v>0.6822589845978323</v>
      </c>
      <c r="M9" s="8">
        <v>61</v>
      </c>
      <c r="N9" s="10">
        <v>46221</v>
      </c>
      <c r="O9" s="11" t="s">
        <v>28</v>
      </c>
    </row>
    <row r="10" ht="30" customHeight="1">
      <c r="A10" s="12" t="s">
        <v>41</v>
      </c>
      <c r="E10" s="13">
        <f>SUM(E4:E9)</f>
      </c>
      <c r="G10" s="13">
        <f>SUM(G4:G9)</f>
      </c>
      <c r="H10" s="13">
        <f>SUM(H4:H9)</f>
      </c>
      <c r="I10" s="12"/>
      <c r="M10" s="12"/>
    </row>
    <row r="11" ht="30" customHeight="1">
      <c r="A11" s="12" t="s">
        <v>42</v>
      </c>
      <c r="E11" s="13">
        <f>AVERAGE(E4:E9)</f>
      </c>
      <c r="G11" s="13">
        <f>AVERAGE(G4:G9)</f>
      </c>
      <c r="H11" s="13">
        <f>AVERAGE(H4:H9)</f>
      </c>
      <c r="I11" s="14">
        <f>AVERAGE(I4:I9)</f>
      </c>
      <c r="M11" s="15">
        <f>AVERAGE(M4:M9)</f>
      </c>
    </row>
    <row r="12" ht="30" customHeight="1">
      <c r="A12" s="12" t="s">
        <v>43</v>
      </c>
      <c r="E12" s="12"/>
      <c r="G12" s="12"/>
      <c r="H12" s="12"/>
      <c r="I12" s="12"/>
      <c r="M12" s="15">
        <f>MAX(M4:M9)</f>
      </c>
    </row>
    <row r="15" ht="30" customHeight="1">
      <c r="A15" s="16" t="s">
        <v>44</v>
      </c>
      <c r="B15" s="16"/>
      <c r="C15" s="16"/>
      <c r="D15" s="16"/>
      <c r="E15" s="16"/>
      <c r="F15" s="16"/>
      <c r="G15" s="16"/>
      <c r="H15" s="16"/>
      <c r="I15" s="16"/>
    </row>
    <row r="16" ht="30" customHeight="1">
      <c r="A16" s="17"/>
      <c r="B16" s="17"/>
      <c r="C16" s="17"/>
      <c r="D16" s="18" t="s">
        <v>1</v>
      </c>
      <c r="E16" s="17"/>
      <c r="F16" s="17"/>
      <c r="G16" s="18" t="s">
        <v>2</v>
      </c>
      <c r="H16" s="18" t="s">
        <v>3</v>
      </c>
      <c r="I16" s="17"/>
    </row>
    <row r="17" ht="30" customHeight="1">
      <c r="A17" s="19" t="s">
        <v>4</v>
      </c>
      <c r="B17" s="19" t="s">
        <v>5</v>
      </c>
      <c r="C17" s="19" t="s">
        <v>7</v>
      </c>
      <c r="D17" s="19" t="s">
        <v>8</v>
      </c>
      <c r="E17" s="19" t="s">
        <v>11</v>
      </c>
      <c r="F17" s="19" t="s">
        <v>12</v>
      </c>
      <c r="G17" s="19" t="s">
        <v>16</v>
      </c>
      <c r="H17" s="19" t="s">
        <v>17</v>
      </c>
      <c r="I17" s="19" t="s">
        <v>18</v>
      </c>
    </row>
    <row r="18" ht="30" customHeight="1">
      <c r="A18" s="20" t="s">
        <v>19</v>
      </c>
      <c r="B18" s="20" t="s">
        <v>20</v>
      </c>
      <c r="C18" s="20" t="s">
        <v>22</v>
      </c>
      <c r="D18" s="21">
        <v>764759</v>
      </c>
      <c r="E18" s="21">
        <v>879473</v>
      </c>
      <c r="F18" s="22">
        <v>1.03</v>
      </c>
      <c r="G18" s="23">
        <v>65</v>
      </c>
      <c r="H18" s="24">
        <v>46074</v>
      </c>
      <c r="I18" s="25" t="s">
        <v>23</v>
      </c>
    </row>
    <row r="19" ht="30" customHeight="1">
      <c r="A19" s="20" t="s">
        <v>34</v>
      </c>
      <c r="B19" s="20" t="s">
        <v>20</v>
      </c>
      <c r="C19" s="20" t="s">
        <v>35</v>
      </c>
      <c r="D19" s="21">
        <v>905243</v>
      </c>
      <c r="E19" s="21">
        <v>1031977</v>
      </c>
      <c r="F19" s="22">
        <v>0.97</v>
      </c>
      <c r="G19" s="23">
        <v>60</v>
      </c>
      <c r="H19" s="24">
        <v>46153</v>
      </c>
      <c r="I19" s="25" t="s">
        <v>33</v>
      </c>
    </row>
    <row r="20" ht="30" customHeight="1">
      <c r="A20" s="20" t="s">
        <v>38</v>
      </c>
      <c r="B20" s="20" t="s">
        <v>30</v>
      </c>
      <c r="C20" s="20" t="s">
        <v>40</v>
      </c>
      <c r="D20" s="21">
        <v>776661</v>
      </c>
      <c r="E20" s="21">
        <v>807727</v>
      </c>
      <c r="F20" s="22">
        <v>1.18</v>
      </c>
      <c r="G20" s="23">
        <v>61</v>
      </c>
      <c r="H20" s="24">
        <v>46221</v>
      </c>
      <c r="I20" s="25" t="s">
        <v>28</v>
      </c>
    </row>
    <row r="21" ht="30" customHeight="1">
      <c r="A21" s="26" t="s">
        <v>41</v>
      </c>
      <c r="D21" s="27">
        <f>SUM(D18:D20)</f>
      </c>
      <c r="E21" s="27">
        <f>SUM(E18:E20)</f>
      </c>
      <c r="F21" s="26"/>
      <c r="G21" s="26"/>
    </row>
    <row r="22" ht="30" customHeight="1">
      <c r="A22" s="26" t="s">
        <v>42</v>
      </c>
      <c r="D22" s="27">
        <f>AVERAGE(D18:D20)</f>
      </c>
      <c r="E22" s="27">
        <f>AVERAGE(E18:E20)</f>
      </c>
      <c r="F22" s="28">
        <f>AVERAGE(F18:F20)</f>
      </c>
      <c r="G22" s="29">
        <f>AVERAGE(G18:G20)</f>
      </c>
    </row>
    <row r="23" ht="30" customHeight="1">
      <c r="A23" s="26" t="s">
        <v>43</v>
      </c>
      <c r="D23" s="26"/>
      <c r="E23" s="26"/>
      <c r="F23" s="26"/>
      <c r="G23" s="29">
        <f>MAX(G18:G20)</f>
      </c>
    </row>
  </sheetData>
  <mergeCells count="7">
    <mergeCell ref="A1:O1"/>
    <mergeCell ref="E2:I2"/>
    <mergeCell ref="J2:M2"/>
    <mergeCell ref="N2:O2"/>
    <mergeCell ref="A15:I15"/>
    <mergeCell ref="D16:F16"/>
    <mergeCell ref="H16:I16"/>
  </mergeCells>
  <conditionalFormatting sqref="I6:I11">
    <cfRule type="expression" dxfId="0" priority="1">
      <formula>($I2&lt;1)</formula>
    </cfRule>
    <cfRule type="expression" dxfId="1" priority="2">
      <formula>($I2&gt;=1.1)</formula>
    </cfRule>
  </conditionalFormatting>
  <conditionalFormatting sqref="M6:M11">
    <cfRule type="expression" dxfId="2" priority="3">
      <formula>($M2&lt;70)</formula>
    </cfRule>
    <cfRule type="expression" dxfId="1" priority="4">
      <formula>($M2&gt;=85)</formula>
    </cfRule>
  </conditionalFormatting>
  <conditionalFormatting sqref="F20:F22">
    <cfRule type="expression" dxfId="0" priority="5">
      <formula>($F2&lt;1)</formula>
    </cfRule>
    <cfRule type="expression" dxfId="1" priority="6">
      <formula>($F2&gt;=1.1)</formula>
    </cfRule>
  </conditionalFormatting>
  <conditionalFormatting sqref="G20:G22">
    <cfRule type="expression" dxfId="2" priority="7">
      <formula>($G2&lt;70)</formula>
    </cfRule>
    <cfRule type="expression" dxfId="1" priority="8">
      <formula>($G2&gt;=85)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dimension ref="A1:S8"/>
  <sheetViews>
    <sheetView workbookViewId="0">
      <pane ySplit="3" topLeftCell="A4" state="frozen" activePane="bottomLeft"/>
      <selection pane="bottomLeft" activeCell="A4" sqref="A4"/>
    </sheetView>
  </sheetViews>
  <sheetFormatPr defaultRowHeight="30"/>
  <cols>
    <col min="1" max="1" width="27" customWidth="1"/>
    <col min="2" max="2" width="19" customWidth="1"/>
    <col min="3" max="3" width="21" customWidth="1"/>
    <col min="4" max="4" width="15" customWidth="1"/>
    <col min="5" max="5" width="15" customWidth="1"/>
    <col min="8" max="8" width="27" customWidth="1"/>
    <col min="9" max="9" width="19" customWidth="1"/>
    <col min="10" max="10" width="21" customWidth="1"/>
    <col min="11" max="11" width="15" customWidth="1"/>
    <col min="12" max="12" width="15" customWidth="1"/>
    <col min="15" max="15" width="27" customWidth="1"/>
    <col min="16" max="16" width="19" customWidth="1"/>
    <col min="17" max="17" width="21" customWidth="1"/>
    <col min="18" max="18" width="15" customWidth="1"/>
    <col min="19" max="19" width="15" customWidth="1"/>
  </cols>
  <sheetData>
    <row r="1" ht="30" customHeight="1">
      <c r="A1" s="30" t="s">
        <v>20</v>
      </c>
      <c r="B1" s="30"/>
      <c r="C1" s="30"/>
      <c r="D1" s="30"/>
      <c r="E1" s="30"/>
      <c r="H1" s="42" t="s">
        <v>25</v>
      </c>
      <c r="I1" s="42"/>
      <c r="J1" s="42"/>
      <c r="K1" s="42"/>
      <c r="L1" s="42"/>
      <c r="O1" s="54" t="s">
        <v>30</v>
      </c>
      <c r="P1" s="54"/>
      <c r="Q1" s="54"/>
      <c r="R1" s="54"/>
      <c r="S1" s="54"/>
    </row>
    <row r="2" ht="30" customHeight="1">
      <c r="A2" s="31"/>
      <c r="B2" s="32" t="s">
        <v>1</v>
      </c>
      <c r="C2" s="31"/>
      <c r="D2" s="31"/>
      <c r="E2" s="32" t="s">
        <v>2</v>
      </c>
      <c r="H2" s="43"/>
      <c r="I2" s="44" t="s">
        <v>1</v>
      </c>
      <c r="J2" s="43"/>
      <c r="K2" s="43"/>
      <c r="L2" s="44" t="s">
        <v>2</v>
      </c>
      <c r="O2" s="55"/>
      <c r="P2" s="56" t="s">
        <v>1</v>
      </c>
      <c r="Q2" s="55"/>
      <c r="R2" s="55"/>
      <c r="S2" s="56" t="s">
        <v>2</v>
      </c>
    </row>
    <row r="3" ht="30" customHeight="1">
      <c r="A3" s="33" t="s">
        <v>4</v>
      </c>
      <c r="B3" s="33" t="s">
        <v>8</v>
      </c>
      <c r="C3" s="33" t="s">
        <v>11</v>
      </c>
      <c r="D3" s="33" t="s">
        <v>12</v>
      </c>
      <c r="E3" s="33" t="s">
        <v>16</v>
      </c>
      <c r="H3" s="45" t="s">
        <v>4</v>
      </c>
      <c r="I3" s="45" t="s">
        <v>8</v>
      </c>
      <c r="J3" s="45" t="s">
        <v>11</v>
      </c>
      <c r="K3" s="45" t="s">
        <v>12</v>
      </c>
      <c r="L3" s="45" t="s">
        <v>16</v>
      </c>
      <c r="O3" s="56" t="s">
        <v>4</v>
      </c>
      <c r="P3" s="56" t="s">
        <v>8</v>
      </c>
      <c r="Q3" s="56" t="s">
        <v>11</v>
      </c>
      <c r="R3" s="56" t="s">
        <v>12</v>
      </c>
      <c r="S3" s="56" t="s">
        <v>16</v>
      </c>
    </row>
    <row r="4" ht="30" customHeight="1">
      <c r="A4" s="34" t="s">
        <v>19</v>
      </c>
      <c r="B4" s="35">
        <v>764759</v>
      </c>
      <c r="C4" s="35">
        <v>879473</v>
      </c>
      <c r="D4" s="36">
        <v>1.03</v>
      </c>
      <c r="E4" s="37">
        <v>65</v>
      </c>
      <c r="H4" s="46" t="s">
        <v>24</v>
      </c>
      <c r="I4" s="47">
        <v>509118</v>
      </c>
      <c r="J4" s="47">
        <v>631306</v>
      </c>
      <c r="K4" s="48">
        <v>1.08</v>
      </c>
      <c r="L4" s="49">
        <v>80</v>
      </c>
      <c r="O4" s="57" t="s">
        <v>29</v>
      </c>
      <c r="P4" s="58">
        <v>1121839</v>
      </c>
      <c r="Q4" s="58">
        <v>1177931</v>
      </c>
      <c r="R4" s="59">
        <v>1.12</v>
      </c>
      <c r="S4" s="60">
        <v>92</v>
      </c>
    </row>
    <row r="5" ht="30" customHeight="1">
      <c r="A5" s="34" t="s">
        <v>34</v>
      </c>
      <c r="B5" s="35">
        <v>905243</v>
      </c>
      <c r="C5" s="35">
        <v>1031977</v>
      </c>
      <c r="D5" s="36">
        <v>0.97</v>
      </c>
      <c r="E5" s="37">
        <v>60</v>
      </c>
      <c r="H5" s="46" t="s">
        <v>36</v>
      </c>
      <c r="I5" s="47">
        <v>1089829</v>
      </c>
      <c r="J5" s="47">
        <v>1275100</v>
      </c>
      <c r="K5" s="48">
        <v>1.05</v>
      </c>
      <c r="L5" s="49">
        <v>83</v>
      </c>
      <c r="O5" s="57" t="s">
        <v>38</v>
      </c>
      <c r="P5" s="58">
        <v>776661</v>
      </c>
      <c r="Q5" s="58">
        <v>807727</v>
      </c>
      <c r="R5" s="59">
        <v>1.18</v>
      </c>
      <c r="S5" s="60">
        <v>61</v>
      </c>
    </row>
    <row r="6" ht="30" customHeight="1">
      <c r="A6" s="38" t="s">
        <v>41</v>
      </c>
      <c r="B6" s="39">
        <f>SUM(B4:B5)</f>
      </c>
      <c r="C6" s="39">
        <f>SUM(C4:C5)</f>
      </c>
      <c r="D6" s="38"/>
      <c r="E6" s="38"/>
      <c r="H6" s="50" t="s">
        <v>41</v>
      </c>
      <c r="I6" s="51">
        <f>SUM(I4:I5)</f>
      </c>
      <c r="J6" s="51">
        <f>SUM(J4:J5)</f>
      </c>
      <c r="K6" s="50"/>
      <c r="L6" s="50"/>
      <c r="O6" s="61" t="s">
        <v>41</v>
      </c>
      <c r="P6" s="62">
        <f>SUM(P4:P5)</f>
      </c>
      <c r="Q6" s="62">
        <f>SUM(Q4:Q5)</f>
      </c>
      <c r="R6" s="61"/>
      <c r="S6" s="61"/>
    </row>
    <row r="7" ht="30" customHeight="1">
      <c r="A7" s="38" t="s">
        <v>42</v>
      </c>
      <c r="B7" s="39">
        <f>AVERAGE(B4:B5)</f>
      </c>
      <c r="C7" s="39">
        <f>AVERAGE(C4:C5)</f>
      </c>
      <c r="D7" s="40">
        <f>AVERAGE(D4:D5)</f>
      </c>
      <c r="E7" s="41">
        <f>AVERAGE(E4:E5)</f>
      </c>
      <c r="H7" s="50" t="s">
        <v>42</v>
      </c>
      <c r="I7" s="51">
        <f>AVERAGE(I4:I5)</f>
      </c>
      <c r="J7" s="51">
        <f>AVERAGE(J4:J5)</f>
      </c>
      <c r="K7" s="52">
        <f>AVERAGE(K4:K5)</f>
      </c>
      <c r="L7" s="53">
        <f>AVERAGE(L4:L5)</f>
      </c>
      <c r="O7" s="61" t="s">
        <v>42</v>
      </c>
      <c r="P7" s="62">
        <f>AVERAGE(P4:P5)</f>
      </c>
      <c r="Q7" s="62">
        <f>AVERAGE(Q4:Q5)</f>
      </c>
      <c r="R7" s="63">
        <f>AVERAGE(R4:R5)</f>
      </c>
      <c r="S7" s="64">
        <f>AVERAGE(S4:S5)</f>
      </c>
    </row>
    <row r="8" ht="30" customHeight="1">
      <c r="A8" s="38" t="s">
        <v>43</v>
      </c>
      <c r="B8" s="38"/>
      <c r="C8" s="38"/>
      <c r="D8" s="38"/>
      <c r="E8" s="41">
        <f>MAX(E4:E5)</f>
      </c>
      <c r="H8" s="50" t="s">
        <v>43</v>
      </c>
      <c r="I8" s="50"/>
      <c r="J8" s="50"/>
      <c r="K8" s="50"/>
      <c r="L8" s="53">
        <f>MAX(L4:L5)</f>
      </c>
      <c r="O8" s="61" t="s">
        <v>43</v>
      </c>
      <c r="P8" s="61"/>
      <c r="Q8" s="61"/>
      <c r="R8" s="61"/>
      <c r="S8" s="64">
        <f>MAX(S4:S5)</f>
      </c>
    </row>
  </sheetData>
  <mergeCells count="6">
    <mergeCell ref="A1:E1"/>
    <mergeCell ref="B2:D2"/>
    <mergeCell ref="H1:L1"/>
    <mergeCell ref="I2:K2"/>
    <mergeCell ref="O1:S1"/>
    <mergeCell ref="P2:R2"/>
  </mergeCells>
  <conditionalFormatting sqref="D6:D7">
    <cfRule type="expression" dxfId="0" priority="1">
      <formula>($D2&lt;1)</formula>
    </cfRule>
    <cfRule type="expression" dxfId="1" priority="2">
      <formula>($D2&gt;=1.1)</formula>
    </cfRule>
  </conditionalFormatting>
  <conditionalFormatting sqref="E6:E7">
    <cfRule type="expression" dxfId="2" priority="3">
      <formula>($E2&lt;70)</formula>
    </cfRule>
    <cfRule type="expression" dxfId="1" priority="4">
      <formula>($E2&gt;=85)</formula>
    </cfRule>
  </conditionalFormatting>
  <conditionalFormatting sqref="K6:K7">
    <cfRule type="expression" dxfId="0" priority="5">
      <formula>($D2&lt;1)</formula>
    </cfRule>
    <cfRule type="expression" dxfId="1" priority="6">
      <formula>($D2&gt;=1.1)</formula>
    </cfRule>
  </conditionalFormatting>
  <conditionalFormatting sqref="L6:L7">
    <cfRule type="expression" dxfId="2" priority="7">
      <formula>($E2&lt;70)</formula>
    </cfRule>
    <cfRule type="expression" dxfId="1" priority="8">
      <formula>($E2&gt;=85)</formula>
    </cfRule>
  </conditionalFormatting>
  <conditionalFormatting sqref="R6:R7">
    <cfRule type="expression" dxfId="0" priority="9">
      <formula>($D2&lt;1)</formula>
    </cfRule>
    <cfRule type="expression" dxfId="1" priority="10">
      <formula>($D2&gt;=1.1)</formula>
    </cfRule>
  </conditionalFormatting>
  <conditionalFormatting sqref="S6:S7">
    <cfRule type="expression" dxfId="2" priority="11">
      <formula>($E2&lt;70)</formula>
    </cfRule>
    <cfRule type="expression" dxfId="1" priority="12">
      <formula>($E2&gt;=85)</formula>
    </cfRule>
  </conditionalFormatting>
</worksheet>
</file>