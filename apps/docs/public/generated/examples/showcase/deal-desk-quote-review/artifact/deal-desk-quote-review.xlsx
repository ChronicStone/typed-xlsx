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ote Review" sheetId="1" r:id="rId1"/>
    <sheet name="Approvals" sheetId="2" r:id="rId2"/>
  </sheets>
</workbook>
</file>

<file path=xl/sharedStrings.xml><?xml version="1.0" encoding="utf-8"?>
<sst xmlns="http://schemas.openxmlformats.org/spreadsheetml/2006/main" count="95" uniqueCount="95">
  <si>
    <t>Quote</t>
  </si>
  <si>
    <t>Account</t>
  </si>
  <si>
    <t>Owner</t>
  </si>
  <si>
    <t>Vertical</t>
  </si>
  <si>
    <t>Stage</t>
  </si>
  <si>
    <t>SKU</t>
  </si>
  <si>
    <t>Description</t>
  </si>
  <si>
    <t>Qty</t>
  </si>
  <si>
    <t>Unit Price</t>
  </si>
  <si>
    <t>Unit Cost</t>
  </si>
  <si>
    <t>Line Revenue</t>
  </si>
  <si>
    <t>Line Cost</t>
  </si>
  <si>
    <t>Discount</t>
  </si>
  <si>
    <t>Net Revenue</t>
  </si>
  <si>
    <t>Margin %</t>
  </si>
  <si>
    <t>Approval</t>
  </si>
  <si>
    <t>Notes</t>
  </si>
  <si>
    <t>QUOTE-4100</t>
  </si>
  <si>
    <t>Murray - Wilderman</t>
  </si>
  <si>
    <t>Emelie Herzog</t>
  </si>
  <si>
    <t>Manufacturing</t>
  </si>
  <si>
    <t>Negotiation</t>
  </si>
  <si>
    <t>3TWYODE9</t>
  </si>
  <si>
    <t>Tasty Concrete Soap</t>
  </si>
  <si>
    <t>REVIEW</t>
  </si>
  <si>
    <t>Partner delivery assumptions need sign-off before final submission.</t>
  </si>
  <si>
    <t>NOAJ4DPN</t>
  </si>
  <si>
    <t>Handcrafted Steel Car</t>
  </si>
  <si>
    <t>CM0HITRG</t>
  </si>
  <si>
    <t>Recycled Ceramic Chicken</t>
  </si>
  <si>
    <t>QUOTE-4101</t>
  </si>
  <si>
    <t>Schuster-Ortiz - Heathcote</t>
  </si>
  <si>
    <t>Cristina Nolan V</t>
  </si>
  <si>
    <t>Retail</t>
  </si>
  <si>
    <t>Draft</t>
  </si>
  <si>
    <t>40G8KDSS</t>
  </si>
  <si>
    <t>Elegant Silk Sausages</t>
  </si>
  <si>
    <t>CLEAR</t>
  </si>
  <si>
    <t>Procurement asked for commercial flexibility on the rollout phase.</t>
  </si>
  <si>
    <t>PBOCMNC2</t>
  </si>
  <si>
    <t>Handmade Silk Mouse</t>
  </si>
  <si>
    <t>QUOTE-4102</t>
  </si>
  <si>
    <t>Tromp, Schinner-Schmidt and Green</t>
  </si>
  <si>
    <t>Deonte Considine</t>
  </si>
  <si>
    <t>Healthcare</t>
  </si>
  <si>
    <t>Y631TLUQ</t>
  </si>
  <si>
    <t>Gorgeous Bronze Keyboard</t>
  </si>
  <si>
    <t>MWDVQHGW</t>
  </si>
  <si>
    <t>Refined Cotton Bike</t>
  </si>
  <si>
    <t>W6325SKL</t>
  </si>
  <si>
    <t>Modern Bronze Pizza</t>
  </si>
  <si>
    <t>QUOTE-4103</t>
  </si>
  <si>
    <t>Brekke - Harber</t>
  </si>
  <si>
    <t>Sidney Buckridge</t>
  </si>
  <si>
    <t>Fintech</t>
  </si>
  <si>
    <t>H443LLGM</t>
  </si>
  <si>
    <t>Handcrafted Ceramic Hat</t>
  </si>
  <si>
    <t>Security review is complete; pricing now depends on legal redlines.</t>
  </si>
  <si>
    <t>019AGU1B</t>
  </si>
  <si>
    <t>Rustic Wooden Chicken</t>
  </si>
  <si>
    <t>YIJG057M</t>
  </si>
  <si>
    <t>Elegant Ceramic Pizza</t>
  </si>
  <si>
    <t>QUOTE-4104</t>
  </si>
  <si>
    <t>Anderson, Treutel-Weimann and Renner</t>
  </si>
  <si>
    <t>Blanche Boehm</t>
  </si>
  <si>
    <t>UNM9MO90</t>
  </si>
  <si>
    <t>Fresh Gold Towels</t>
  </si>
  <si>
    <t>EFKIV1C7</t>
  </si>
  <si>
    <t>Soft Gold Cheese</t>
  </si>
  <si>
    <t>AVJVC7UN</t>
  </si>
  <si>
    <t>Sleek Granite Cheese</t>
  </si>
  <si>
    <t>QUOTE-4105</t>
  </si>
  <si>
    <t>Krajcik Group</t>
  </si>
  <si>
    <t>Keith Moore</t>
  </si>
  <si>
    <t>VZ3WKAD9</t>
  </si>
  <si>
    <t>Practical Steel Cheese</t>
  </si>
  <si>
    <t>Services line is under margin review before approval routing.</t>
  </si>
  <si>
    <t>8RET5NQ8</t>
  </si>
  <si>
    <t>Elegant Cotton Shirt</t>
  </si>
  <si>
    <t>AKLCZ4B3</t>
  </si>
  <si>
    <t>Incredible Cotton Chips</t>
  </si>
  <si>
    <t>P9T4B6OD</t>
  </si>
  <si>
    <t>Handmade Plastic Keyboard</t>
  </si>
  <si>
    <t>QUOTE-4106</t>
  </si>
  <si>
    <t>Brekke and Sons</t>
  </si>
  <si>
    <t>Connie Aufderhar</t>
  </si>
  <si>
    <t>Y45P00AR</t>
  </si>
  <si>
    <t>Recycled Gold Sausages</t>
  </si>
  <si>
    <t>LZWGUZUM</t>
  </si>
  <si>
    <t>Electronic Steel Table</t>
  </si>
  <si>
    <t>Q4X30G84</t>
  </si>
  <si>
    <t>Sleek Granite Salad</t>
  </si>
  <si>
    <t>TU4HLED1</t>
  </si>
  <si>
    <t>Sleek Gold Computer</t>
  </si>
  <si>
    <t>TOTAL</t>
  </si>
</sst>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%"/>
    <numFmt numFmtId="166" formatCode="0.0%"/>
  </numFmts>
  <fonts count="2">
    <font>
      <sz val="11"/>
      <name val="Calibri"/>
    </font>
    <font>
      <b/>
    </font>
  </fonts>
  <fills count="4">
    <fill>
      <patternFill patternType="none"/>
    </fill>
    <fill>
      <patternFill patternType="solid">
        <fgColor rgb="FFCCCCCC"/>
        <bgColor indexed="64"/>
      </patternFill>
    </fill>
    <fill>
      <patternFill patternType="solid">
        <fgColor rgb="FFE9E9E9"/>
        <bgColor indexed="64"/>
      </patternFill>
    </fill>
    <fill>
      <patternFill patternType="none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0" fillId="3" borderId="2" xfId="0" applyFill="1" applyBorder="1" applyAlignment="1">
      <alignment vertical="top" wrapText="1"/>
    </xf>
    <xf numFmtId="0" fontId="0" fillId="3" borderId="2" xfId="0" applyFill="1" applyBorder="1" applyAlignment="1">
      <alignment horizontal="right" vertical="center"/>
    </xf>
    <xf numFmtId="164" fontId="0" fillId="3" borderId="2" xfId="0" applyNumberFormat="1" applyFill="1" applyBorder="1" applyAlignment="1">
      <alignment horizontal="right" vertical="center"/>
    </xf>
    <xf numFmtId="165" fontId="0" fillId="3" borderId="2" xfId="0" applyNumberFormat="1" applyFill="1" applyBorder="1" applyAlignment="1">
      <alignment horizontal="right" vertical="center"/>
    </xf>
    <xf numFmtId="166" fontId="0" fillId="3" borderId="2" xfId="0" applyNumberFormat="1" applyFill="1" applyBorder="1" applyAlignment="1">
      <alignment horizontal="right" vertical="center"/>
    </xf>
    <xf numFmtId="0" fontId="1" fillId="2" borderId="2" xfId="0" applyFont="1" applyFill="1" applyBorder="1" applyAlignment="1">
      <alignment vertical="center"/>
    </xf>
    <xf numFmtId="164" fontId="1" fillId="2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3">
    <dxf>
      <font>
        <b/>
        <color rgb="FF991B1B"/>
      </font>
      <fill>
        <patternFill patternType="solid">
          <fgColor rgb="FFFEE2E2"/>
        </patternFill>
      </fill>
    </dxf>
    <dxf>
      <font>
        <b/>
        <color rgb="FF166534"/>
      </font>
      <fill>
        <patternFill patternType="solid">
          <fgColor rgb="FFDCFCE7"/>
        </patternFill>
      </fill>
    </dxf>
    <dxf>
      <font>
        <b/>
        <color rgb="FF9A3412"/>
      </font>
      <fill>
        <patternFill patternType="solid">
          <fgColor rgb="FFFFEDD5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4"/>
  <sheetViews>
    <sheetView workbookViewId="0">
      <pane xSplit="5" ySplit="1" topLeftCell="F2" state="frozen" activePane="bottomRight"/>
    </sheetView>
  </sheetViews>
  <sheetFormatPr defaultRowHeight="30"/>
  <cols>
    <col min="1" max="1" width="19" customWidth="1"/>
    <col min="2" max="2" width="41" customWidth="1"/>
    <col min="3" max="3" width="21" customWidth="1"/>
    <col min="4" max="4" width="19" customWidth="1"/>
    <col min="5" max="5" width="17" customWidth="1"/>
    <col min="6" max="6" width="17" customWidth="1"/>
    <col min="7" max="7" width="30" customWidth="1"/>
    <col min="8" max="8" width="13" customWidth="1"/>
    <col min="9" max="9" width="17" customWidth="1"/>
    <col min="10" max="10" width="17" customWidth="1"/>
    <col min="11" max="11" width="19" customWidth="1"/>
    <col min="12" max="12" width="17" customWidth="1"/>
    <col min="13" max="13" width="15" customWidth="1"/>
    <col min="14" max="14" width="19" customWidth="1"/>
    <col min="15" max="15" width="15" customWidth="1"/>
    <col min="16" max="16" width="17" customWidth="1"/>
    <col min="17" max="17" width="72" customWidth="1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30" customHeight="1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3" t="s">
        <v>23</v>
      </c>
      <c r="H2" s="4">
        <v>74</v>
      </c>
      <c r="I2" s="5">
        <v>640</v>
      </c>
      <c r="J2" s="5">
        <v>476</v>
      </c>
      <c r="K2" s="5">
        <f>ROUND((H2*I2),2)</f>
      </c>
      <c r="L2" s="5">
        <f>ROUND((H2*J2),2)</f>
      </c>
      <c r="M2" s="6">
        <v>0.16</v>
      </c>
      <c r="N2" s="5">
        <f>ROUND((K2*(1-M2)),2)</f>
      </c>
      <c r="O2" s="7">
        <f>IF((N2&gt;0),((N2-L2)/N2),0)</f>
      </c>
      <c r="P2" s="2" t="s">
        <v>24</v>
      </c>
      <c r="Q2" s="3" t="s">
        <v>25</v>
      </c>
    </row>
    <row r="3" ht="30" customHeight="1">
      <c r="A3" s="2"/>
      <c r="B3" s="2"/>
      <c r="C3" s="2"/>
      <c r="D3" s="2"/>
      <c r="E3" s="2"/>
      <c r="F3" s="2" t="s">
        <v>26</v>
      </c>
      <c r="G3" s="3" t="s">
        <v>27</v>
      </c>
      <c r="H3" s="4">
        <v>30</v>
      </c>
      <c r="I3" s="5">
        <v>1150</v>
      </c>
      <c r="J3" s="5">
        <v>883</v>
      </c>
      <c r="K3" s="5"/>
      <c r="L3" s="5"/>
      <c r="M3" s="6"/>
      <c r="N3" s="5"/>
      <c r="O3" s="7"/>
      <c r="P3" s="2"/>
      <c r="Q3" s="3"/>
    </row>
    <row r="4" ht="30" customHeight="1">
      <c r="A4" s="2"/>
      <c r="B4" s="2"/>
      <c r="C4" s="2"/>
      <c r="D4" s="2"/>
      <c r="E4" s="2"/>
      <c r="F4" s="2" t="s">
        <v>28</v>
      </c>
      <c r="G4" s="3" t="s">
        <v>29</v>
      </c>
      <c r="H4" s="4">
        <v>61</v>
      </c>
      <c r="I4" s="5">
        <v>1092</v>
      </c>
      <c r="J4" s="5">
        <v>524</v>
      </c>
      <c r="K4" s="5"/>
      <c r="L4" s="5"/>
      <c r="M4" s="6"/>
      <c r="N4" s="5"/>
      <c r="O4" s="7"/>
      <c r="P4" s="2"/>
      <c r="Q4" s="3"/>
    </row>
    <row r="5" ht="30" customHeight="1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3" t="s">
        <v>36</v>
      </c>
      <c r="H5" s="4">
        <v>104</v>
      </c>
      <c r="I5" s="5">
        <v>1488</v>
      </c>
      <c r="J5" s="5">
        <v>1195</v>
      </c>
      <c r="K5" s="5">
        <f>ROUND((H3*I3),2)</f>
      </c>
      <c r="L5" s="5">
        <f>ROUND((H3*J3),2)</f>
      </c>
      <c r="M5" s="6">
        <v>0.08</v>
      </c>
      <c r="N5" s="5">
        <f>ROUND((K3*(1-M3)),2)</f>
      </c>
      <c r="O5" s="7">
        <f>IF((N3&gt;0),((N3-L3)/N3),0)</f>
      </c>
      <c r="P5" s="2" t="s">
        <v>37</v>
      </c>
      <c r="Q5" s="3" t="s">
        <v>38</v>
      </c>
    </row>
    <row r="6" ht="30" customHeight="1">
      <c r="A6" s="2"/>
      <c r="B6" s="2"/>
      <c r="C6" s="2"/>
      <c r="D6" s="2"/>
      <c r="E6" s="2"/>
      <c r="F6" s="2" t="s">
        <v>39</v>
      </c>
      <c r="G6" s="3" t="s">
        <v>40</v>
      </c>
      <c r="H6" s="4">
        <v>54</v>
      </c>
      <c r="I6" s="5">
        <v>2169</v>
      </c>
      <c r="J6" s="5">
        <v>1676</v>
      </c>
      <c r="K6" s="5"/>
      <c r="L6" s="5"/>
      <c r="M6" s="6"/>
      <c r="N6" s="5"/>
      <c r="O6" s="7"/>
      <c r="P6" s="2"/>
      <c r="Q6" s="3"/>
    </row>
    <row r="7" ht="30" customHeight="1">
      <c r="A7" s="2" t="s">
        <v>41</v>
      </c>
      <c r="B7" s="2" t="s">
        <v>42</v>
      </c>
      <c r="C7" s="2" t="s">
        <v>43</v>
      </c>
      <c r="D7" s="2" t="s">
        <v>44</v>
      </c>
      <c r="E7" s="2" t="s">
        <v>15</v>
      </c>
      <c r="F7" s="2" t="s">
        <v>45</v>
      </c>
      <c r="G7" s="3" t="s">
        <v>46</v>
      </c>
      <c r="H7" s="4">
        <v>89</v>
      </c>
      <c r="I7" s="5">
        <v>1530</v>
      </c>
      <c r="J7" s="5">
        <v>1411</v>
      </c>
      <c r="K7" s="5">
        <f>ROUND((H4*I4),2)</f>
      </c>
      <c r="L7" s="5">
        <f>ROUND((H4*J4),2)</f>
      </c>
      <c r="M7" s="6">
        <v>0.15</v>
      </c>
      <c r="N7" s="5">
        <f>ROUND((K4*(1-M4)),2)</f>
      </c>
      <c r="O7" s="7">
        <f>IF((N4&gt;0),((N4-L4)/N4),0)</f>
      </c>
      <c r="P7" s="2" t="s">
        <v>37</v>
      </c>
      <c r="Q7" s="3" t="s">
        <v>25</v>
      </c>
    </row>
    <row r="8" ht="30" customHeight="1">
      <c r="A8" s="2"/>
      <c r="B8" s="2"/>
      <c r="C8" s="2"/>
      <c r="D8" s="2"/>
      <c r="E8" s="2"/>
      <c r="F8" s="2" t="s">
        <v>47</v>
      </c>
      <c r="G8" s="3" t="s">
        <v>48</v>
      </c>
      <c r="H8" s="4">
        <v>12</v>
      </c>
      <c r="I8" s="5">
        <v>1391</v>
      </c>
      <c r="J8" s="5">
        <v>1319</v>
      </c>
      <c r="K8" s="5"/>
      <c r="L8" s="5"/>
      <c r="M8" s="6"/>
      <c r="N8" s="5"/>
      <c r="O8" s="7"/>
      <c r="P8" s="2"/>
      <c r="Q8" s="3"/>
    </row>
    <row r="9" ht="30" customHeight="1">
      <c r="A9" s="2"/>
      <c r="B9" s="2"/>
      <c r="C9" s="2"/>
      <c r="D9" s="2"/>
      <c r="E9" s="2"/>
      <c r="F9" s="2" t="s">
        <v>49</v>
      </c>
      <c r="G9" s="3" t="s">
        <v>50</v>
      </c>
      <c r="H9" s="4">
        <v>67</v>
      </c>
      <c r="I9" s="5">
        <v>2069</v>
      </c>
      <c r="J9" s="5">
        <v>1622</v>
      </c>
      <c r="K9" s="5"/>
      <c r="L9" s="5"/>
      <c r="M9" s="6"/>
      <c r="N9" s="5"/>
      <c r="O9" s="7"/>
      <c r="P9" s="2"/>
      <c r="Q9" s="3"/>
    </row>
    <row r="10" ht="30" customHeight="1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15</v>
      </c>
      <c r="F10" s="2" t="s">
        <v>55</v>
      </c>
      <c r="G10" s="3" t="s">
        <v>56</v>
      </c>
      <c r="H10" s="4">
        <v>113</v>
      </c>
      <c r="I10" s="5">
        <v>2026</v>
      </c>
      <c r="J10" s="5">
        <v>1709</v>
      </c>
      <c r="K10" s="5">
        <f>ROUND((H5*I5),2)</f>
      </c>
      <c r="L10" s="5">
        <f>ROUND((H5*J5),2)</f>
      </c>
      <c r="M10" s="6">
        <v>0.08</v>
      </c>
      <c r="N10" s="5">
        <f>ROUND((K5*(1-M5)),2)</f>
      </c>
      <c r="O10" s="7">
        <f>IF((N5&gt;0),((N5-L5)/N5),0)</f>
      </c>
      <c r="P10" s="2" t="s">
        <v>37</v>
      </c>
      <c r="Q10" s="3" t="s">
        <v>57</v>
      </c>
    </row>
    <row r="11" ht="30" customHeight="1">
      <c r="A11" s="2"/>
      <c r="B11" s="2"/>
      <c r="C11" s="2"/>
      <c r="D11" s="2"/>
      <c r="E11" s="2"/>
      <c r="F11" s="2" t="s">
        <v>58</v>
      </c>
      <c r="G11" s="3" t="s">
        <v>59</v>
      </c>
      <c r="H11" s="4">
        <v>77</v>
      </c>
      <c r="I11" s="5">
        <v>502</v>
      </c>
      <c r="J11" s="5">
        <v>169</v>
      </c>
      <c r="K11" s="5"/>
      <c r="L11" s="5"/>
      <c r="M11" s="6"/>
      <c r="N11" s="5"/>
      <c r="O11" s="7"/>
      <c r="P11" s="2"/>
      <c r="Q11" s="3"/>
    </row>
    <row r="12" ht="30" customHeight="1">
      <c r="A12" s="2"/>
      <c r="B12" s="2"/>
      <c r="C12" s="2"/>
      <c r="D12" s="2"/>
      <c r="E12" s="2"/>
      <c r="F12" s="2" t="s">
        <v>60</v>
      </c>
      <c r="G12" s="3" t="s">
        <v>61</v>
      </c>
      <c r="H12" s="4">
        <v>108</v>
      </c>
      <c r="I12" s="5">
        <v>599</v>
      </c>
      <c r="J12" s="5">
        <v>323</v>
      </c>
      <c r="K12" s="5"/>
      <c r="L12" s="5"/>
      <c r="M12" s="6"/>
      <c r="N12" s="5"/>
      <c r="O12" s="7"/>
      <c r="P12" s="2"/>
      <c r="Q12" s="3"/>
    </row>
    <row r="13" ht="30" customHeight="1">
      <c r="A13" s="2" t="s">
        <v>62</v>
      </c>
      <c r="B13" s="2" t="s">
        <v>63</v>
      </c>
      <c r="C13" s="2" t="s">
        <v>64</v>
      </c>
      <c r="D13" s="2" t="s">
        <v>44</v>
      </c>
      <c r="E13" s="2" t="s">
        <v>21</v>
      </c>
      <c r="F13" s="2" t="s">
        <v>65</v>
      </c>
      <c r="G13" s="3" t="s">
        <v>66</v>
      </c>
      <c r="H13" s="4">
        <v>107</v>
      </c>
      <c r="I13" s="5">
        <v>1716</v>
      </c>
      <c r="J13" s="5">
        <v>1210</v>
      </c>
      <c r="K13" s="5">
        <f>ROUND((H6*I6),2)</f>
      </c>
      <c r="L13" s="5">
        <f>ROUND((H6*J6),2)</f>
      </c>
      <c r="M13" s="6">
        <v>0.03</v>
      </c>
      <c r="N13" s="5">
        <f>ROUND((K6*(1-M6)),2)</f>
      </c>
      <c r="O13" s="7">
        <f>IF((N6&gt;0),((N6-L6)/N6),0)</f>
      </c>
      <c r="P13" s="2" t="s">
        <v>24</v>
      </c>
      <c r="Q13" s="3" t="s">
        <v>25</v>
      </c>
    </row>
    <row r="14" ht="30" customHeight="1">
      <c r="A14" s="2"/>
      <c r="B14" s="2"/>
      <c r="C14" s="2"/>
      <c r="D14" s="2"/>
      <c r="E14" s="2"/>
      <c r="F14" s="2" t="s">
        <v>67</v>
      </c>
      <c r="G14" s="3" t="s">
        <v>68</v>
      </c>
      <c r="H14" s="4">
        <v>60</v>
      </c>
      <c r="I14" s="5">
        <v>424</v>
      </c>
      <c r="J14" s="5">
        <v>222</v>
      </c>
      <c r="K14" s="5"/>
      <c r="L14" s="5"/>
      <c r="M14" s="6"/>
      <c r="N14" s="5"/>
      <c r="O14" s="7"/>
      <c r="P14" s="2"/>
      <c r="Q14" s="3"/>
    </row>
    <row r="15" ht="30" customHeight="1">
      <c r="A15" s="2"/>
      <c r="B15" s="2"/>
      <c r="C15" s="2"/>
      <c r="D15" s="2"/>
      <c r="E15" s="2"/>
      <c r="F15" s="2" t="s">
        <v>69</v>
      </c>
      <c r="G15" s="3" t="s">
        <v>70</v>
      </c>
      <c r="H15" s="4">
        <v>30</v>
      </c>
      <c r="I15" s="5">
        <v>686</v>
      </c>
      <c r="J15" s="5">
        <v>597</v>
      </c>
      <c r="K15" s="5"/>
      <c r="L15" s="5"/>
      <c r="M15" s="6"/>
      <c r="N15" s="5"/>
      <c r="O15" s="7"/>
      <c r="P15" s="2"/>
      <c r="Q15" s="3"/>
    </row>
    <row r="16" ht="30" customHeight="1">
      <c r="A16" s="2" t="s">
        <v>71</v>
      </c>
      <c r="B16" s="2" t="s">
        <v>72</v>
      </c>
      <c r="C16" s="2" t="s">
        <v>73</v>
      </c>
      <c r="D16" s="2" t="s">
        <v>54</v>
      </c>
      <c r="E16" s="2" t="s">
        <v>15</v>
      </c>
      <c r="F16" s="2" t="s">
        <v>74</v>
      </c>
      <c r="G16" s="3" t="s">
        <v>75</v>
      </c>
      <c r="H16" s="4">
        <v>117</v>
      </c>
      <c r="I16" s="5">
        <v>1650</v>
      </c>
      <c r="J16" s="5">
        <v>1372</v>
      </c>
      <c r="K16" s="5">
        <f>ROUND((H7*I7),2)</f>
      </c>
      <c r="L16" s="5">
        <f>ROUND((H7*J7),2)</f>
      </c>
      <c r="M16" s="6">
        <v>0.16</v>
      </c>
      <c r="N16" s="5">
        <f>ROUND((K7*(1-M7)),2)</f>
      </c>
      <c r="O16" s="7">
        <f>IF((N7&gt;0),((N7-L7)/N7),0)</f>
      </c>
      <c r="P16" s="2" t="s">
        <v>37</v>
      </c>
      <c r="Q16" s="3" t="s">
        <v>76</v>
      </c>
    </row>
    <row r="17" ht="30" customHeight="1">
      <c r="A17" s="2"/>
      <c r="B17" s="2"/>
      <c r="C17" s="2"/>
      <c r="D17" s="2"/>
      <c r="E17" s="2"/>
      <c r="F17" s="2" t="s">
        <v>77</v>
      </c>
      <c r="G17" s="3" t="s">
        <v>78</v>
      </c>
      <c r="H17" s="4">
        <v>37</v>
      </c>
      <c r="I17" s="5">
        <v>1758</v>
      </c>
      <c r="J17" s="5">
        <v>1194</v>
      </c>
      <c r="K17" s="5"/>
      <c r="L17" s="5"/>
      <c r="M17" s="6"/>
      <c r="N17" s="5"/>
      <c r="O17" s="7"/>
      <c r="P17" s="2"/>
      <c r="Q17" s="3"/>
    </row>
    <row r="18" ht="30" customHeight="1">
      <c r="A18" s="2"/>
      <c r="B18" s="2"/>
      <c r="C18" s="2"/>
      <c r="D18" s="2"/>
      <c r="E18" s="2"/>
      <c r="F18" s="2" t="s">
        <v>79</v>
      </c>
      <c r="G18" s="3" t="s">
        <v>80</v>
      </c>
      <c r="H18" s="4">
        <v>101</v>
      </c>
      <c r="I18" s="5">
        <v>1096</v>
      </c>
      <c r="J18" s="5">
        <v>854</v>
      </c>
      <c r="K18" s="5"/>
      <c r="L18" s="5"/>
      <c r="M18" s="6"/>
      <c r="N18" s="5"/>
      <c r="O18" s="7"/>
      <c r="P18" s="2"/>
      <c r="Q18" s="3"/>
    </row>
    <row r="19" ht="30" customHeight="1">
      <c r="A19" s="2"/>
      <c r="B19" s="2"/>
      <c r="C19" s="2"/>
      <c r="D19" s="2"/>
      <c r="E19" s="2"/>
      <c r="F19" s="2" t="s">
        <v>81</v>
      </c>
      <c r="G19" s="3" t="s">
        <v>82</v>
      </c>
      <c r="H19" s="4">
        <v>115</v>
      </c>
      <c r="I19" s="5">
        <v>1366</v>
      </c>
      <c r="J19" s="5">
        <v>1084</v>
      </c>
      <c r="K19" s="5"/>
      <c r="L19" s="5"/>
      <c r="M19" s="6"/>
      <c r="N19" s="5"/>
      <c r="O19" s="7"/>
      <c r="P19" s="2"/>
      <c r="Q19" s="3"/>
    </row>
    <row r="20" ht="30" customHeight="1">
      <c r="A20" s="2" t="s">
        <v>83</v>
      </c>
      <c r="B20" s="2" t="s">
        <v>84</v>
      </c>
      <c r="C20" s="2" t="s">
        <v>85</v>
      </c>
      <c r="D20" s="2" t="s">
        <v>33</v>
      </c>
      <c r="E20" s="2" t="s">
        <v>21</v>
      </c>
      <c r="F20" s="2" t="s">
        <v>86</v>
      </c>
      <c r="G20" s="3" t="s">
        <v>87</v>
      </c>
      <c r="H20" s="4">
        <v>21</v>
      </c>
      <c r="I20" s="5">
        <v>313</v>
      </c>
      <c r="J20" s="5">
        <v>51</v>
      </c>
      <c r="K20" s="5">
        <f>ROUND((H8*I8),2)</f>
      </c>
      <c r="L20" s="5">
        <f>ROUND((H8*J8),2)</f>
      </c>
      <c r="M20" s="6">
        <v>0.16</v>
      </c>
      <c r="N20" s="5">
        <f>ROUND((K8*(1-M8)),2)</f>
      </c>
      <c r="O20" s="7">
        <f>IF((N8&gt;0),((N8-L8)/N8),0)</f>
      </c>
      <c r="P20" s="2" t="s">
        <v>24</v>
      </c>
      <c r="Q20" s="3" t="s">
        <v>76</v>
      </c>
    </row>
    <row r="21" ht="30" customHeight="1">
      <c r="A21" s="2"/>
      <c r="B21" s="2"/>
      <c r="C21" s="2"/>
      <c r="D21" s="2"/>
      <c r="E21" s="2"/>
      <c r="F21" s="2" t="s">
        <v>88</v>
      </c>
      <c r="G21" s="3" t="s">
        <v>89</v>
      </c>
      <c r="H21" s="4">
        <v>80</v>
      </c>
      <c r="I21" s="5">
        <v>805</v>
      </c>
      <c r="J21" s="5">
        <v>597</v>
      </c>
      <c r="K21" s="5"/>
      <c r="L21" s="5"/>
      <c r="M21" s="6"/>
      <c r="N21" s="5"/>
      <c r="O21" s="7"/>
      <c r="P21" s="2"/>
      <c r="Q21" s="3"/>
    </row>
    <row r="22" ht="30" customHeight="1">
      <c r="A22" s="2"/>
      <c r="B22" s="2"/>
      <c r="C22" s="2"/>
      <c r="D22" s="2"/>
      <c r="E22" s="2"/>
      <c r="F22" s="2" t="s">
        <v>90</v>
      </c>
      <c r="G22" s="3" t="s">
        <v>91</v>
      </c>
      <c r="H22" s="4">
        <v>20</v>
      </c>
      <c r="I22" s="5">
        <v>1732</v>
      </c>
      <c r="J22" s="5">
        <v>1000</v>
      </c>
      <c r="K22" s="5"/>
      <c r="L22" s="5"/>
      <c r="M22" s="6"/>
      <c r="N22" s="5"/>
      <c r="O22" s="7"/>
      <c r="P22" s="2"/>
      <c r="Q22" s="3"/>
    </row>
    <row r="23" ht="30" customHeight="1">
      <c r="A23" s="2"/>
      <c r="B23" s="2"/>
      <c r="C23" s="2"/>
      <c r="D23" s="2"/>
      <c r="E23" s="2"/>
      <c r="F23" s="2" t="s">
        <v>92</v>
      </c>
      <c r="G23" s="3" t="s">
        <v>93</v>
      </c>
      <c r="H23" s="4">
        <v>99</v>
      </c>
      <c r="I23" s="5">
        <v>1405</v>
      </c>
      <c r="J23" s="5">
        <v>1091</v>
      </c>
      <c r="K23" s="5"/>
      <c r="L23" s="5"/>
      <c r="M23" s="6"/>
      <c r="N23" s="5"/>
      <c r="O23" s="7"/>
      <c r="P23" s="2"/>
      <c r="Q23" s="3"/>
    </row>
    <row r="24" ht="30" customHeight="1">
      <c r="A24" s="8" t="s">
        <v>94</v>
      </c>
      <c r="K24" s="9">
        <f>SUM(K2:K23)</f>
      </c>
      <c r="L24" s="9">
        <f>SUM(L2:L23)</f>
      </c>
      <c r="N24" s="9">
        <f>SUM(N2:N23)</f>
      </c>
    </row>
  </sheetData>
  <conditionalFormatting sqref="O2:O23">
    <cfRule type="expression" dxfId="0" priority="1">
      <formula>(M2&gt;=0.18)</formula>
    </cfRule>
    <cfRule type="expression" dxfId="1" priority="2">
      <formula>(M2&lt;0.08)</formula>
    </cfRule>
  </conditionalFormatting>
  <conditionalFormatting sqref="P2:P23">
    <cfRule type="expression" dxfId="2" priority="3">
      <formula>OR((M2&gt;=0.18),(E2="Negotiation"))</formula>
    </cfRule>
    <cfRule type="expression" dxfId="1" priority="4">
      <formula>AND((M2&lt;0.18),NOT((E2="Negotiation")))</formula>
    </cfRule>
  </conditionalFormatting>
  <mergeCells count="84">
    <mergeCell ref="A2:A4"/>
    <mergeCell ref="B2:B4"/>
    <mergeCell ref="C2:C4"/>
    <mergeCell ref="D2:D4"/>
    <mergeCell ref="E2:E4"/>
    <mergeCell ref="K2:K4"/>
    <mergeCell ref="L2:L4"/>
    <mergeCell ref="M2:M4"/>
    <mergeCell ref="N2:N4"/>
    <mergeCell ref="O2:O4"/>
    <mergeCell ref="P2:P4"/>
    <mergeCell ref="Q2:Q4"/>
    <mergeCell ref="A5:A6"/>
    <mergeCell ref="B5:B6"/>
    <mergeCell ref="C5:C6"/>
    <mergeCell ref="D5:D6"/>
    <mergeCell ref="E5:E6"/>
    <mergeCell ref="K5:K6"/>
    <mergeCell ref="L5:L6"/>
    <mergeCell ref="M5:M6"/>
    <mergeCell ref="N5:N6"/>
    <mergeCell ref="O5:O6"/>
    <mergeCell ref="P5:P6"/>
    <mergeCell ref="Q5:Q6"/>
    <mergeCell ref="A7:A9"/>
    <mergeCell ref="B7:B9"/>
    <mergeCell ref="C7:C9"/>
    <mergeCell ref="D7:D9"/>
    <mergeCell ref="E7:E9"/>
    <mergeCell ref="K7:K9"/>
    <mergeCell ref="L7:L9"/>
    <mergeCell ref="M7:M9"/>
    <mergeCell ref="N7:N9"/>
    <mergeCell ref="O7:O9"/>
    <mergeCell ref="P7:P9"/>
    <mergeCell ref="Q7:Q9"/>
    <mergeCell ref="A10:A12"/>
    <mergeCell ref="B10:B12"/>
    <mergeCell ref="C10:C12"/>
    <mergeCell ref="D10:D12"/>
    <mergeCell ref="E10:E12"/>
    <mergeCell ref="K10:K12"/>
    <mergeCell ref="L10:L12"/>
    <mergeCell ref="M10:M12"/>
    <mergeCell ref="N10:N12"/>
    <mergeCell ref="O10:O12"/>
    <mergeCell ref="P10:P12"/>
    <mergeCell ref="Q10:Q12"/>
    <mergeCell ref="A13:A15"/>
    <mergeCell ref="B13:B15"/>
    <mergeCell ref="C13:C15"/>
    <mergeCell ref="D13:D15"/>
    <mergeCell ref="E13:E15"/>
    <mergeCell ref="K13:K15"/>
    <mergeCell ref="L13:L15"/>
    <mergeCell ref="M13:M15"/>
    <mergeCell ref="N13:N15"/>
    <mergeCell ref="O13:O15"/>
    <mergeCell ref="P13:P15"/>
    <mergeCell ref="Q13:Q15"/>
    <mergeCell ref="A16:A19"/>
    <mergeCell ref="B16:B19"/>
    <mergeCell ref="C16:C19"/>
    <mergeCell ref="D16:D19"/>
    <mergeCell ref="E16:E19"/>
    <mergeCell ref="K16:K19"/>
    <mergeCell ref="L16:L19"/>
    <mergeCell ref="M16:M19"/>
    <mergeCell ref="N16:N19"/>
    <mergeCell ref="O16:O19"/>
    <mergeCell ref="P16:P19"/>
    <mergeCell ref="Q16:Q19"/>
    <mergeCell ref="A20:A23"/>
    <mergeCell ref="B20:B23"/>
    <mergeCell ref="C20:C23"/>
    <mergeCell ref="D20:D23"/>
    <mergeCell ref="E20:E23"/>
    <mergeCell ref="K20:K23"/>
    <mergeCell ref="L20:L23"/>
    <mergeCell ref="M20:M23"/>
    <mergeCell ref="N20:N23"/>
    <mergeCell ref="O20:O23"/>
    <mergeCell ref="P20:P23"/>
    <mergeCell ref="Q20:Q23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state="frozen" activePane="bottomLeft"/>
    </sheetView>
  </sheetViews>
  <sheetFormatPr defaultRowHeight="30"/>
  <cols>
    <col min="1" max="1" width="19" customWidth="1"/>
    <col min="2" max="2" width="38" customWidth="1"/>
    <col min="3" max="3" width="21" customWidth="1"/>
    <col min="4" max="4" width="19" customWidth="1"/>
    <col min="5" max="5" width="17" customWidth="1"/>
    <col min="6" max="6" width="15" customWidth="1"/>
    <col min="7" max="7" width="17" customWidth="1"/>
    <col min="8" max="8" width="72" customWidth="1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</v>
      </c>
      <c r="G1" s="1" t="s">
        <v>15</v>
      </c>
      <c r="H1" s="1" t="s">
        <v>16</v>
      </c>
    </row>
    <row r="2" ht="30" customHeight="1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6">
        <v>0.16</v>
      </c>
      <c r="G2" s="2" t="s">
        <v>24</v>
      </c>
      <c r="H2" s="3" t="s">
        <v>25</v>
      </c>
    </row>
    <row r="3" ht="30" customHeight="1">
      <c r="A3" s="2" t="s">
        <v>41</v>
      </c>
      <c r="B3" s="2" t="s">
        <v>42</v>
      </c>
      <c r="C3" s="2" t="s">
        <v>43</v>
      </c>
      <c r="D3" s="2" t="s">
        <v>44</v>
      </c>
      <c r="E3" s="2" t="s">
        <v>15</v>
      </c>
      <c r="F3" s="6">
        <v>0.15</v>
      </c>
      <c r="G3" s="2" t="s">
        <v>37</v>
      </c>
      <c r="H3" s="3" t="s">
        <v>25</v>
      </c>
    </row>
    <row r="4" ht="30" customHeight="1">
      <c r="A4" s="2" t="s">
        <v>71</v>
      </c>
      <c r="B4" s="2" t="s">
        <v>72</v>
      </c>
      <c r="C4" s="2" t="s">
        <v>73</v>
      </c>
      <c r="D4" s="2" t="s">
        <v>54</v>
      </c>
      <c r="E4" s="2" t="s">
        <v>15</v>
      </c>
      <c r="F4" s="6">
        <v>0.16</v>
      </c>
      <c r="G4" s="2" t="s">
        <v>37</v>
      </c>
      <c r="H4" s="3" t="s">
        <v>76</v>
      </c>
    </row>
    <row r="5" ht="30" customHeight="1">
      <c r="A5" s="2" t="s">
        <v>83</v>
      </c>
      <c r="B5" s="2" t="s">
        <v>84</v>
      </c>
      <c r="C5" s="2" t="s">
        <v>85</v>
      </c>
      <c r="D5" s="2" t="s">
        <v>33</v>
      </c>
      <c r="E5" s="2" t="s">
        <v>21</v>
      </c>
      <c r="F5" s="6">
        <v>0.16</v>
      </c>
      <c r="G5" s="2" t="s">
        <v>24</v>
      </c>
      <c r="H5" s="3" t="s">
        <v>76</v>
      </c>
    </row>
    <row r="6" ht="30" customHeight="1">
      <c r="A6" s="8" t="s">
        <v>94</v>
      </c>
    </row>
  </sheetData>
  <conditionalFormatting sqref="G2:G5">
    <cfRule type="expression" dxfId="2" priority="1">
      <formula>OR((F2&gt;=0.18),(E2="Negotiation"))</formula>
    </cfRule>
    <cfRule type="expression" dxfId="1" priority="2">
      <formula>AND((F2&lt;0.18),NOT((E2="Negotiation")))</formula>
    </cfRule>
  </conditionalFormatting>
</worksheet>
</file>